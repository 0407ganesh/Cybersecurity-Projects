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9d8f1c108cfd33ef/Desktop/Anudip/"/>
    </mc:Choice>
  </mc:AlternateContent>
  <xr:revisionPtr revIDLastSave="22" documentId="8_{2DA5B234-19EB-4A93-BA84-C94C3CB6DBC1}" xr6:coauthVersionLast="47" xr6:coauthVersionMax="47" xr10:uidLastSave="{394F1C8E-BE7D-4AFD-A13A-221A8B8D96AB}"/>
  <bookViews>
    <workbookView xWindow="-108" yWindow="-108" windowWidth="23256" windowHeight="12456" activeTab="2" xr2:uid="{80B590A0-26F3-4C00-B82F-AB5BC9851E2A}"/>
  </bookViews>
  <sheets>
    <sheet name="complete data" sheetId="1" r:id="rId1"/>
    <sheet name="pivot tables" sheetId="7" r:id="rId2"/>
    <sheet name="Dashboards" sheetId="6" r:id="rId3"/>
    <sheet name="PRODUCTS" sheetId="8" r:id="rId4"/>
    <sheet name="SALES MANS" sheetId="9" r:id="rId5"/>
    <sheet name="ABOUT" sheetId="10"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42" i="7"/>
  <c r="C39" i="7"/>
</calcChain>
</file>

<file path=xl/sharedStrings.xml><?xml version="1.0" encoding="utf-8"?>
<sst xmlns="http://schemas.openxmlformats.org/spreadsheetml/2006/main" count="928" uniqueCount="42">
  <si>
    <t>Date</t>
  </si>
  <si>
    <t>Sales Persons</t>
  </si>
  <si>
    <t>Products</t>
  </si>
  <si>
    <t>Place</t>
  </si>
  <si>
    <t>Price</t>
  </si>
  <si>
    <t>Units</t>
  </si>
  <si>
    <t>Amount</t>
  </si>
  <si>
    <t>Ramesh</t>
  </si>
  <si>
    <t>Furniture</t>
  </si>
  <si>
    <t>Kiran</t>
  </si>
  <si>
    <t>Gopi</t>
  </si>
  <si>
    <t>LED TV's</t>
  </si>
  <si>
    <t>Mahesh</t>
  </si>
  <si>
    <t>4K LED TV's</t>
  </si>
  <si>
    <t>Mobiles</t>
  </si>
  <si>
    <t>Ganesh</t>
  </si>
  <si>
    <t>Laptops</t>
  </si>
  <si>
    <t>Speakers</t>
  </si>
  <si>
    <t>Prathap</t>
  </si>
  <si>
    <t>Electronic City</t>
  </si>
  <si>
    <t>Koramangala</t>
  </si>
  <si>
    <t>Vega-city</t>
  </si>
  <si>
    <t>Madiwala</t>
  </si>
  <si>
    <t>Silk Board</t>
  </si>
  <si>
    <t>Mejastic</t>
  </si>
  <si>
    <t>Row Labels</t>
  </si>
  <si>
    <t>Grand Total</t>
  </si>
  <si>
    <t>Sum of Amount</t>
  </si>
  <si>
    <t>Jan</t>
  </si>
  <si>
    <t>Feb</t>
  </si>
  <si>
    <t>Apr</t>
  </si>
  <si>
    <t>May</t>
  </si>
  <si>
    <t>Jun</t>
  </si>
  <si>
    <t>Jul</t>
  </si>
  <si>
    <t>Aug</t>
  </si>
  <si>
    <t>Sep</t>
  </si>
  <si>
    <t>Oct</t>
  </si>
  <si>
    <t>Nov</t>
  </si>
  <si>
    <t>Dec</t>
  </si>
  <si>
    <t>Count of Amount</t>
  </si>
  <si>
    <t>Sum of Units</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</si>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</sst>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43" fontId="0" fillId="0" borderId="0" xfId="1" applyFont="1"/>
    <xf numFmtId="164" fontId="0" fillId="0" borderId="0" xfId="1" applyNumberFormat="1" applyFont="1"/>
    <xf numFmtId="10" fontId="0" fillId="0" borderId="0" xfId="0" applyNumberFormat="1"/>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tables!PivotTable2</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7A2E-4B6A-BD4E-EEDE8D6BB938}"/>
            </c:ext>
          </c:extLst>
        </c:ser>
        <c:dLbls>
          <c:showLegendKey val="0"/>
          <c:showVal val="0"/>
          <c:showCatName val="0"/>
          <c:showSerName val="0"/>
          <c:showPercent val="0"/>
          <c:showBubbleSize val="0"/>
        </c:dLbls>
        <c:smooth val="0"/>
        <c:axId val="1896769247"/>
        <c:axId val="1896770687"/>
      </c:lineChart>
      <c:catAx>
        <c:axId val="189676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70687"/>
        <c:crosses val="autoZero"/>
        <c:auto val="1"/>
        <c:lblAlgn val="ctr"/>
        <c:lblOffset val="100"/>
        <c:noMultiLvlLbl val="0"/>
      </c:catAx>
      <c:valAx>
        <c:axId val="1896770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69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tables'!$A$19:$A$25</c:f>
              <c:strCache>
                <c:ptCount val="6"/>
                <c:pt idx="0">
                  <c:v>Electronic City</c:v>
                </c:pt>
                <c:pt idx="1">
                  <c:v>Koramangala</c:v>
                </c:pt>
                <c:pt idx="2">
                  <c:v>Madiwala</c:v>
                </c:pt>
                <c:pt idx="3">
                  <c:v>Mejastic</c:v>
                </c:pt>
                <c:pt idx="4">
                  <c:v>Silk Board</c:v>
                </c:pt>
                <c:pt idx="5">
                  <c:v>Vega-city</c:v>
                </c:pt>
              </c:strCache>
            </c:strRef>
          </c:cat>
          <c:val>
            <c:numRef>
              <c:f>'pivot tables'!$B$19:$B$25</c:f>
              <c:numCache>
                <c:formatCode>#,##0</c:formatCode>
                <c:ptCount val="6"/>
                <c:pt idx="0">
                  <c:v>19179514</c:v>
                </c:pt>
                <c:pt idx="1">
                  <c:v>15080094</c:v>
                </c:pt>
                <c:pt idx="2">
                  <c:v>16926316</c:v>
                </c:pt>
                <c:pt idx="3">
                  <c:v>41054876</c:v>
                </c:pt>
                <c:pt idx="4">
                  <c:v>10438408</c:v>
                </c:pt>
                <c:pt idx="5">
                  <c:v>16052685</c:v>
                </c:pt>
              </c:numCache>
            </c:numRef>
          </c:val>
          <c:extLst>
            <c:ext xmlns:c16="http://schemas.microsoft.com/office/drawing/2014/chart" uri="{C3380CC4-5D6E-409C-BE32-E72D297353CC}">
              <c16:uniqueId val="{00000000-56A5-4075-BF94-60F6E9A5B1A5}"/>
            </c:ext>
          </c:extLst>
        </c:ser>
        <c:dLbls>
          <c:showLegendKey val="0"/>
          <c:showVal val="0"/>
          <c:showCatName val="0"/>
          <c:showSerName val="0"/>
          <c:showPercent val="0"/>
          <c:showBubbleSize val="0"/>
        </c:dLbls>
        <c:gapWidth val="219"/>
        <c:overlap val="-27"/>
        <c:axId val="1889052783"/>
        <c:axId val="1877896015"/>
      </c:barChart>
      <c:catAx>
        <c:axId val="188905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96015"/>
        <c:crosses val="autoZero"/>
        <c:auto val="1"/>
        <c:lblAlgn val="ctr"/>
        <c:lblOffset val="100"/>
        <c:noMultiLvlLbl val="0"/>
      </c:catAx>
      <c:valAx>
        <c:axId val="187789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5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tables'!$A$28:$A$34</c:f>
              <c:strCache>
                <c:ptCount val="6"/>
                <c:pt idx="0">
                  <c:v>4K LED TV's</c:v>
                </c:pt>
                <c:pt idx="1">
                  <c:v>Furniture</c:v>
                </c:pt>
                <c:pt idx="2">
                  <c:v>Laptops</c:v>
                </c:pt>
                <c:pt idx="3">
                  <c:v>LED TV's</c:v>
                </c:pt>
                <c:pt idx="4">
                  <c:v>Mobiles</c:v>
                </c:pt>
                <c:pt idx="5">
                  <c:v>Speakers</c:v>
                </c:pt>
              </c:strCache>
            </c:strRef>
          </c:cat>
          <c:val>
            <c:numRef>
              <c:f>'pivot tables'!$B$28:$B$34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50C7-4E67-A097-031EDAF06835}"/>
            </c:ext>
          </c:extLst>
        </c:ser>
        <c:dLbls>
          <c:showLegendKey val="0"/>
          <c:showVal val="0"/>
          <c:showCatName val="0"/>
          <c:showSerName val="0"/>
          <c:showPercent val="0"/>
          <c:showBubbleSize val="0"/>
        </c:dLbls>
        <c:gapWidth val="182"/>
        <c:axId val="1610315007"/>
        <c:axId val="1610263647"/>
      </c:barChart>
      <c:catAx>
        <c:axId val="161031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263647"/>
        <c:crosses val="autoZero"/>
        <c:auto val="1"/>
        <c:lblAlgn val="ctr"/>
        <c:lblOffset val="100"/>
        <c:noMultiLvlLbl val="0"/>
      </c:catAx>
      <c:valAx>
        <c:axId val="1610263647"/>
        <c:scaling>
          <c:orientation val="minMax"/>
        </c:scaling>
        <c:delete val="1"/>
        <c:axPos val="b"/>
        <c:numFmt formatCode="0.00%" sourceLinked="1"/>
        <c:majorTickMark val="none"/>
        <c:minorTickMark val="none"/>
        <c:tickLblPos val="nextTo"/>
        <c:crossAx val="161031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tables'!$A$47:$A$50</c:f>
              <c:strCache>
                <c:ptCount val="3"/>
                <c:pt idx="0">
                  <c:v>Speakers</c:v>
                </c:pt>
                <c:pt idx="1">
                  <c:v>4K LED TV's</c:v>
                </c:pt>
                <c:pt idx="2">
                  <c:v>Laptops</c:v>
                </c:pt>
              </c:strCache>
            </c:strRef>
          </c:cat>
          <c:val>
            <c:numRef>
              <c:f>'pivot tables'!$B$47:$B$50</c:f>
              <c:numCache>
                <c:formatCode>General</c:formatCode>
                <c:ptCount val="3"/>
                <c:pt idx="0">
                  <c:v>1457</c:v>
                </c:pt>
                <c:pt idx="1">
                  <c:v>1503</c:v>
                </c:pt>
                <c:pt idx="2">
                  <c:v>1615</c:v>
                </c:pt>
              </c:numCache>
            </c:numRef>
          </c:val>
          <c:extLst>
            <c:ext xmlns:c16="http://schemas.microsoft.com/office/drawing/2014/chart" uri="{C3380CC4-5D6E-409C-BE32-E72D297353CC}">
              <c16:uniqueId val="{00000000-7BA3-4A80-90E4-4CDA60A68BC0}"/>
            </c:ext>
          </c:extLst>
        </c:ser>
        <c:dLbls>
          <c:showLegendKey val="0"/>
          <c:showVal val="0"/>
          <c:showCatName val="0"/>
          <c:showSerName val="0"/>
          <c:showPercent val="0"/>
          <c:showBubbleSize val="0"/>
        </c:dLbls>
        <c:gapWidth val="182"/>
        <c:axId val="92327375"/>
        <c:axId val="92331215"/>
      </c:barChart>
      <c:catAx>
        <c:axId val="9232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215"/>
        <c:crosses val="autoZero"/>
        <c:auto val="1"/>
        <c:lblAlgn val="ctr"/>
        <c:lblOffset val="100"/>
        <c:noMultiLvlLbl val="0"/>
      </c:catAx>
      <c:valAx>
        <c:axId val="92331215"/>
        <c:scaling>
          <c:orientation val="minMax"/>
        </c:scaling>
        <c:delete val="1"/>
        <c:axPos val="b"/>
        <c:numFmt formatCode="General" sourceLinked="1"/>
        <c:majorTickMark val="none"/>
        <c:minorTickMark val="none"/>
        <c:tickLblPos val="nextTo"/>
        <c:crossAx val="9232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tables'!$A$53:$A$56</c:f>
              <c:strCache>
                <c:ptCount val="3"/>
                <c:pt idx="0">
                  <c:v>Furniture</c:v>
                </c:pt>
                <c:pt idx="1">
                  <c:v>Mobiles</c:v>
                </c:pt>
                <c:pt idx="2">
                  <c:v>LED TV's</c:v>
                </c:pt>
              </c:strCache>
            </c:strRef>
          </c:cat>
          <c:val>
            <c:numRef>
              <c:f>'pivot tables'!$B$53:$B$56</c:f>
              <c:numCache>
                <c:formatCode>General</c:formatCode>
                <c:ptCount val="3"/>
                <c:pt idx="0">
                  <c:v>1233</c:v>
                </c:pt>
                <c:pt idx="1">
                  <c:v>1168</c:v>
                </c:pt>
                <c:pt idx="2">
                  <c:v>694</c:v>
                </c:pt>
              </c:numCache>
            </c:numRef>
          </c:val>
          <c:extLst>
            <c:ext xmlns:c16="http://schemas.microsoft.com/office/drawing/2014/chart" uri="{C3380CC4-5D6E-409C-BE32-E72D297353CC}">
              <c16:uniqueId val="{00000000-AB3D-4DFB-BC49-66CEC461EB92}"/>
            </c:ext>
          </c:extLst>
        </c:ser>
        <c:dLbls>
          <c:showLegendKey val="0"/>
          <c:showVal val="0"/>
          <c:showCatName val="0"/>
          <c:showSerName val="0"/>
          <c:showPercent val="0"/>
          <c:showBubbleSize val="0"/>
        </c:dLbls>
        <c:gapWidth val="182"/>
        <c:axId val="1601776927"/>
        <c:axId val="1601775007"/>
      </c:barChart>
      <c:catAx>
        <c:axId val="160177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5007"/>
        <c:crosses val="autoZero"/>
        <c:auto val="1"/>
        <c:lblAlgn val="ctr"/>
        <c:lblOffset val="100"/>
        <c:noMultiLvlLbl val="0"/>
      </c:catAx>
      <c:valAx>
        <c:axId val="1601775007"/>
        <c:scaling>
          <c:orientation val="minMax"/>
        </c:scaling>
        <c:delete val="1"/>
        <c:axPos val="b"/>
        <c:numFmt formatCode="General" sourceLinked="1"/>
        <c:majorTickMark val="none"/>
        <c:minorTickMark val="none"/>
        <c:tickLblPos val="nextTo"/>
        <c:crossAx val="160177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tables'!$A$91:$A$97</c:f>
              <c:strCache>
                <c:ptCount val="6"/>
                <c:pt idx="0">
                  <c:v>4K LED TV's</c:v>
                </c:pt>
                <c:pt idx="1">
                  <c:v>Furniture</c:v>
                </c:pt>
                <c:pt idx="2">
                  <c:v>Laptops</c:v>
                </c:pt>
                <c:pt idx="3">
                  <c:v>LED TV's</c:v>
                </c:pt>
                <c:pt idx="4">
                  <c:v>Mobiles</c:v>
                </c:pt>
                <c:pt idx="5">
                  <c:v>Speakers</c:v>
                </c:pt>
              </c:strCache>
            </c:strRef>
          </c:cat>
          <c:val>
            <c:numRef>
              <c:f>'pivot tables'!$B$91:$B$97</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0454-4C1E-831C-7E7BD7617D5A}"/>
            </c:ext>
          </c:extLst>
        </c:ser>
        <c:dLbls>
          <c:showLegendKey val="0"/>
          <c:showVal val="0"/>
          <c:showCatName val="0"/>
          <c:showSerName val="0"/>
          <c:showPercent val="0"/>
          <c:showBubbleSize val="0"/>
        </c:dLbls>
        <c:gapWidth val="219"/>
        <c:overlap val="-27"/>
        <c:axId val="1472843983"/>
        <c:axId val="1472860783"/>
      </c:barChart>
      <c:catAx>
        <c:axId val="14728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60783"/>
        <c:crosses val="autoZero"/>
        <c:auto val="1"/>
        <c:lblAlgn val="ctr"/>
        <c:lblOffset val="100"/>
        <c:noMultiLvlLbl val="0"/>
      </c:catAx>
      <c:valAx>
        <c:axId val="1472860783"/>
        <c:scaling>
          <c:orientation val="minMax"/>
        </c:scaling>
        <c:delete val="1"/>
        <c:axPos val="l"/>
        <c:numFmt formatCode="General" sourceLinked="1"/>
        <c:majorTickMark val="none"/>
        <c:minorTickMark val="none"/>
        <c:tickLblPos val="nextTo"/>
        <c:crossAx val="147284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chemeClr val="accent1"/>
            </a:solidFill>
            <a:ln>
              <a:noFill/>
            </a:ln>
            <a:effectLst/>
          </c:spPr>
          <c:invertIfNegative val="0"/>
          <c:cat>
            <c:strRef>
              <c:f>'pivot tables'!$A$123:$A$126</c:f>
              <c:strCache>
                <c:ptCount val="3"/>
                <c:pt idx="0">
                  <c:v>Ganesh</c:v>
                </c:pt>
                <c:pt idx="1">
                  <c:v>Gopi</c:v>
                </c:pt>
                <c:pt idx="2">
                  <c:v>Kiran</c:v>
                </c:pt>
              </c:strCache>
            </c:strRef>
          </c:cat>
          <c:val>
            <c:numRef>
              <c:f>'pivot tables'!$B$123:$B$126</c:f>
              <c:numCache>
                <c:formatCode>General</c:formatCode>
                <c:ptCount val="3"/>
                <c:pt idx="0">
                  <c:v>1687</c:v>
                </c:pt>
                <c:pt idx="1">
                  <c:v>1534</c:v>
                </c:pt>
                <c:pt idx="2">
                  <c:v>1407</c:v>
                </c:pt>
              </c:numCache>
            </c:numRef>
          </c:val>
          <c:extLst>
            <c:ext xmlns:c16="http://schemas.microsoft.com/office/drawing/2014/chart" uri="{C3380CC4-5D6E-409C-BE32-E72D297353CC}">
              <c16:uniqueId val="{00000000-2B73-4C00-A2A5-D92598E111FD}"/>
            </c:ext>
          </c:extLst>
        </c:ser>
        <c:dLbls>
          <c:showLegendKey val="0"/>
          <c:showVal val="0"/>
          <c:showCatName val="0"/>
          <c:showSerName val="0"/>
          <c:showPercent val="0"/>
          <c:showBubbleSize val="0"/>
        </c:dLbls>
        <c:gapWidth val="182"/>
        <c:axId val="196911279"/>
        <c:axId val="196911759"/>
      </c:barChart>
      <c:catAx>
        <c:axId val="19691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1759"/>
        <c:crosses val="autoZero"/>
        <c:auto val="1"/>
        <c:lblAlgn val="ctr"/>
        <c:lblOffset val="100"/>
        <c:noMultiLvlLbl val="0"/>
      </c:catAx>
      <c:valAx>
        <c:axId val="196911759"/>
        <c:scaling>
          <c:orientation val="minMax"/>
        </c:scaling>
        <c:delete val="1"/>
        <c:axPos val="b"/>
        <c:numFmt formatCode="General" sourceLinked="1"/>
        <c:majorTickMark val="none"/>
        <c:minorTickMark val="none"/>
        <c:tickLblPos val="nextTo"/>
        <c:crossAx val="19691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tables'!$B$130</c:f>
              <c:strCache>
                <c:ptCount val="1"/>
                <c:pt idx="0">
                  <c:v>Total</c:v>
                </c:pt>
              </c:strCache>
            </c:strRef>
          </c:tx>
          <c:spPr>
            <a:solidFill>
              <a:schemeClr val="accent1"/>
            </a:solidFill>
            <a:ln>
              <a:noFill/>
            </a:ln>
            <a:effectLst/>
          </c:spPr>
          <c:invertIfNegative val="0"/>
          <c:cat>
            <c:strRef>
              <c:f>'pivot tables'!$A$131:$A$134</c:f>
              <c:strCache>
                <c:ptCount val="3"/>
                <c:pt idx="0">
                  <c:v>Mahesh</c:v>
                </c:pt>
                <c:pt idx="1">
                  <c:v>Prathap</c:v>
                </c:pt>
                <c:pt idx="2">
                  <c:v>Ramesh</c:v>
                </c:pt>
              </c:strCache>
            </c:strRef>
          </c:cat>
          <c:val>
            <c:numRef>
              <c:f>'pivot tables'!$B$131:$B$134</c:f>
              <c:numCache>
                <c:formatCode>General</c:formatCode>
                <c:ptCount val="3"/>
                <c:pt idx="0">
                  <c:v>810</c:v>
                </c:pt>
                <c:pt idx="1">
                  <c:v>1285</c:v>
                </c:pt>
                <c:pt idx="2">
                  <c:v>947</c:v>
                </c:pt>
              </c:numCache>
            </c:numRef>
          </c:val>
          <c:extLst>
            <c:ext xmlns:c16="http://schemas.microsoft.com/office/drawing/2014/chart" uri="{C3380CC4-5D6E-409C-BE32-E72D297353CC}">
              <c16:uniqueId val="{00000000-9835-4834-8F08-E62B8D99EAD3}"/>
            </c:ext>
          </c:extLst>
        </c:ser>
        <c:dLbls>
          <c:showLegendKey val="0"/>
          <c:showVal val="0"/>
          <c:showCatName val="0"/>
          <c:showSerName val="0"/>
          <c:showPercent val="0"/>
          <c:showBubbleSize val="0"/>
        </c:dLbls>
        <c:gapWidth val="182"/>
        <c:axId val="99246383"/>
        <c:axId val="99248303"/>
      </c:barChart>
      <c:catAx>
        <c:axId val="9924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8303"/>
        <c:crosses val="autoZero"/>
        <c:auto val="1"/>
        <c:lblAlgn val="ctr"/>
        <c:lblOffset val="100"/>
        <c:noMultiLvlLbl val="0"/>
      </c:catAx>
      <c:valAx>
        <c:axId val="99248303"/>
        <c:scaling>
          <c:orientation val="minMax"/>
        </c:scaling>
        <c:delete val="1"/>
        <c:axPos val="b"/>
        <c:numFmt formatCode="General" sourceLinked="1"/>
        <c:majorTickMark val="none"/>
        <c:minorTickMark val="none"/>
        <c:tickLblPos val="nextTo"/>
        <c:crossAx val="9924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tables'!$B$149</c:f>
              <c:strCache>
                <c:ptCount val="1"/>
                <c:pt idx="0">
                  <c:v>Total</c:v>
                </c:pt>
              </c:strCache>
            </c:strRef>
          </c:tx>
          <c:spPr>
            <a:solidFill>
              <a:schemeClr val="accent1"/>
            </a:solidFill>
            <a:ln>
              <a:noFill/>
            </a:ln>
            <a:effectLst/>
          </c:spPr>
          <c:invertIfNegative val="0"/>
          <c:cat>
            <c:strRef>
              <c:f>'pivot tables'!$A$150:$A$156</c:f>
              <c:strCache>
                <c:ptCount val="6"/>
                <c:pt idx="0">
                  <c:v>Ganesh</c:v>
                </c:pt>
                <c:pt idx="1">
                  <c:v>Gopi</c:v>
                </c:pt>
                <c:pt idx="2">
                  <c:v>Kiran</c:v>
                </c:pt>
                <c:pt idx="3">
                  <c:v>Mahesh</c:v>
                </c:pt>
                <c:pt idx="4">
                  <c:v>Prathap</c:v>
                </c:pt>
                <c:pt idx="5">
                  <c:v>Ramesh</c:v>
                </c:pt>
              </c:strCache>
            </c:strRef>
          </c:cat>
          <c:val>
            <c:numRef>
              <c:f>'pivot tables'!$B$150:$B$156</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29BD-435C-8B7F-1218FEC82711}"/>
            </c:ext>
          </c:extLst>
        </c:ser>
        <c:dLbls>
          <c:showLegendKey val="0"/>
          <c:showVal val="0"/>
          <c:showCatName val="0"/>
          <c:showSerName val="0"/>
          <c:showPercent val="0"/>
          <c:showBubbleSize val="0"/>
        </c:dLbls>
        <c:gapWidth val="219"/>
        <c:overlap val="-27"/>
        <c:axId val="196859919"/>
        <c:axId val="196864719"/>
      </c:barChart>
      <c:catAx>
        <c:axId val="19685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4719"/>
        <c:crosses val="autoZero"/>
        <c:auto val="1"/>
        <c:lblAlgn val="ctr"/>
        <c:lblOffset val="100"/>
        <c:noMultiLvlLbl val="0"/>
      </c:catAx>
      <c:valAx>
        <c:axId val="196864719"/>
        <c:scaling>
          <c:orientation val="minMax"/>
        </c:scaling>
        <c:delete val="1"/>
        <c:axPos val="l"/>
        <c:numFmt formatCode="General" sourceLinked="1"/>
        <c:majorTickMark val="none"/>
        <c:minorTickMark val="none"/>
        <c:tickLblPos val="nextTo"/>
        <c:crossAx val="19685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4FC1-41EA-B0DF-8A5C347CFEA8}"/>
            </c:ext>
          </c:extLst>
        </c:ser>
        <c:dLbls>
          <c:showLegendKey val="0"/>
          <c:showVal val="0"/>
          <c:showCatName val="0"/>
          <c:showSerName val="0"/>
          <c:showPercent val="0"/>
          <c:showBubbleSize val="0"/>
        </c:dLbls>
        <c:smooth val="0"/>
        <c:axId val="1896769247"/>
        <c:axId val="1896770687"/>
      </c:lineChart>
      <c:catAx>
        <c:axId val="189676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70687"/>
        <c:crosses val="autoZero"/>
        <c:auto val="1"/>
        <c:lblAlgn val="ctr"/>
        <c:lblOffset val="100"/>
        <c:noMultiLvlLbl val="0"/>
      </c:catAx>
      <c:valAx>
        <c:axId val="1896770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69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tables'!$A$19:$A$25</c:f>
              <c:strCache>
                <c:ptCount val="6"/>
                <c:pt idx="0">
                  <c:v>Electronic City</c:v>
                </c:pt>
                <c:pt idx="1">
                  <c:v>Koramangala</c:v>
                </c:pt>
                <c:pt idx="2">
                  <c:v>Madiwala</c:v>
                </c:pt>
                <c:pt idx="3">
                  <c:v>Mejastic</c:v>
                </c:pt>
                <c:pt idx="4">
                  <c:v>Silk Board</c:v>
                </c:pt>
                <c:pt idx="5">
                  <c:v>Vega-city</c:v>
                </c:pt>
              </c:strCache>
            </c:strRef>
          </c:cat>
          <c:val>
            <c:numRef>
              <c:f>'pivot tables'!$B$19:$B$25</c:f>
              <c:numCache>
                <c:formatCode>#,##0</c:formatCode>
                <c:ptCount val="6"/>
                <c:pt idx="0">
                  <c:v>19179514</c:v>
                </c:pt>
                <c:pt idx="1">
                  <c:v>15080094</c:v>
                </c:pt>
                <c:pt idx="2">
                  <c:v>16926316</c:v>
                </c:pt>
                <c:pt idx="3">
                  <c:v>41054876</c:v>
                </c:pt>
                <c:pt idx="4">
                  <c:v>10438408</c:v>
                </c:pt>
                <c:pt idx="5">
                  <c:v>16052685</c:v>
                </c:pt>
              </c:numCache>
            </c:numRef>
          </c:val>
          <c:extLst>
            <c:ext xmlns:c16="http://schemas.microsoft.com/office/drawing/2014/chart" uri="{C3380CC4-5D6E-409C-BE32-E72D297353CC}">
              <c16:uniqueId val="{00000000-3CB7-40B8-8694-5EF4873242FF}"/>
            </c:ext>
          </c:extLst>
        </c:ser>
        <c:dLbls>
          <c:showLegendKey val="0"/>
          <c:showVal val="0"/>
          <c:showCatName val="0"/>
          <c:showSerName val="0"/>
          <c:showPercent val="0"/>
          <c:showBubbleSize val="0"/>
        </c:dLbls>
        <c:gapWidth val="219"/>
        <c:overlap val="-27"/>
        <c:axId val="1889052783"/>
        <c:axId val="1877896015"/>
      </c:barChart>
      <c:catAx>
        <c:axId val="188905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96015"/>
        <c:crosses val="autoZero"/>
        <c:auto val="1"/>
        <c:lblAlgn val="ctr"/>
        <c:lblOffset val="100"/>
        <c:noMultiLvlLbl val="0"/>
      </c:catAx>
      <c:valAx>
        <c:axId val="1877896015"/>
        <c:scaling>
          <c:orientation val="minMax"/>
        </c:scaling>
        <c:delete val="1"/>
        <c:axPos val="l"/>
        <c:numFmt formatCode="#,##0" sourceLinked="1"/>
        <c:majorTickMark val="none"/>
        <c:minorTickMark val="none"/>
        <c:tickLblPos val="nextTo"/>
        <c:crossAx val="188905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tables'!$A$28:$A$34</c:f>
              <c:strCache>
                <c:ptCount val="6"/>
                <c:pt idx="0">
                  <c:v>4K LED TV's</c:v>
                </c:pt>
                <c:pt idx="1">
                  <c:v>Furniture</c:v>
                </c:pt>
                <c:pt idx="2">
                  <c:v>Laptops</c:v>
                </c:pt>
                <c:pt idx="3">
                  <c:v>LED TV's</c:v>
                </c:pt>
                <c:pt idx="4">
                  <c:v>Mobiles</c:v>
                </c:pt>
                <c:pt idx="5">
                  <c:v>Speakers</c:v>
                </c:pt>
              </c:strCache>
            </c:strRef>
          </c:cat>
          <c:val>
            <c:numRef>
              <c:f>'pivot tables'!$B$28:$B$34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CDB7-4F85-8E39-0F4A7D3757FD}"/>
            </c:ext>
          </c:extLst>
        </c:ser>
        <c:dLbls>
          <c:showLegendKey val="0"/>
          <c:showVal val="0"/>
          <c:showCatName val="0"/>
          <c:showSerName val="0"/>
          <c:showPercent val="0"/>
          <c:showBubbleSize val="0"/>
        </c:dLbls>
        <c:gapWidth val="182"/>
        <c:axId val="1610315007"/>
        <c:axId val="1610263647"/>
      </c:barChart>
      <c:catAx>
        <c:axId val="161031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263647"/>
        <c:crosses val="autoZero"/>
        <c:auto val="1"/>
        <c:lblAlgn val="ctr"/>
        <c:lblOffset val="100"/>
        <c:noMultiLvlLbl val="0"/>
      </c:catAx>
      <c:valAx>
        <c:axId val="1610263647"/>
        <c:scaling>
          <c:orientation val="minMax"/>
        </c:scaling>
        <c:delete val="1"/>
        <c:axPos val="b"/>
        <c:numFmt formatCode="0.00%" sourceLinked="1"/>
        <c:majorTickMark val="none"/>
        <c:minorTickMark val="none"/>
        <c:tickLblPos val="nextTo"/>
        <c:crossAx val="161031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tables'!$A$53:$A$56</c:f>
              <c:strCache>
                <c:ptCount val="3"/>
                <c:pt idx="0">
                  <c:v>Furniture</c:v>
                </c:pt>
                <c:pt idx="1">
                  <c:v>Mobiles</c:v>
                </c:pt>
                <c:pt idx="2">
                  <c:v>LED TV's</c:v>
                </c:pt>
              </c:strCache>
            </c:strRef>
          </c:cat>
          <c:val>
            <c:numRef>
              <c:f>'pivot tables'!$B$53:$B$56</c:f>
              <c:numCache>
                <c:formatCode>General</c:formatCode>
                <c:ptCount val="3"/>
                <c:pt idx="0">
                  <c:v>1233</c:v>
                </c:pt>
                <c:pt idx="1">
                  <c:v>1168</c:v>
                </c:pt>
                <c:pt idx="2">
                  <c:v>694</c:v>
                </c:pt>
              </c:numCache>
            </c:numRef>
          </c:val>
          <c:extLst>
            <c:ext xmlns:c16="http://schemas.microsoft.com/office/drawing/2014/chart" uri="{C3380CC4-5D6E-409C-BE32-E72D297353CC}">
              <c16:uniqueId val="{00000000-4F92-4402-B2A9-62081E81790B}"/>
            </c:ext>
          </c:extLst>
        </c:ser>
        <c:dLbls>
          <c:showLegendKey val="0"/>
          <c:showVal val="0"/>
          <c:showCatName val="0"/>
          <c:showSerName val="0"/>
          <c:showPercent val="0"/>
          <c:showBubbleSize val="0"/>
        </c:dLbls>
        <c:gapWidth val="182"/>
        <c:axId val="1601776927"/>
        <c:axId val="1601775007"/>
      </c:barChart>
      <c:catAx>
        <c:axId val="160177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5007"/>
        <c:crosses val="autoZero"/>
        <c:auto val="1"/>
        <c:lblAlgn val="ctr"/>
        <c:lblOffset val="100"/>
        <c:noMultiLvlLbl val="0"/>
      </c:catAx>
      <c:valAx>
        <c:axId val="1601775007"/>
        <c:scaling>
          <c:orientation val="minMax"/>
        </c:scaling>
        <c:delete val="1"/>
        <c:axPos val="b"/>
        <c:numFmt formatCode="General" sourceLinked="1"/>
        <c:majorTickMark val="none"/>
        <c:minorTickMark val="none"/>
        <c:tickLblPos val="nextTo"/>
        <c:crossAx val="160177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tables'!$A$47:$A$50</c:f>
              <c:strCache>
                <c:ptCount val="3"/>
                <c:pt idx="0">
                  <c:v>Speakers</c:v>
                </c:pt>
                <c:pt idx="1">
                  <c:v>4K LED TV's</c:v>
                </c:pt>
                <c:pt idx="2">
                  <c:v>Laptops</c:v>
                </c:pt>
              </c:strCache>
            </c:strRef>
          </c:cat>
          <c:val>
            <c:numRef>
              <c:f>'pivot tables'!$B$47:$B$50</c:f>
              <c:numCache>
                <c:formatCode>General</c:formatCode>
                <c:ptCount val="3"/>
                <c:pt idx="0">
                  <c:v>1457</c:v>
                </c:pt>
                <c:pt idx="1">
                  <c:v>1503</c:v>
                </c:pt>
                <c:pt idx="2">
                  <c:v>1615</c:v>
                </c:pt>
              </c:numCache>
            </c:numRef>
          </c:val>
          <c:extLst>
            <c:ext xmlns:c16="http://schemas.microsoft.com/office/drawing/2014/chart" uri="{C3380CC4-5D6E-409C-BE32-E72D297353CC}">
              <c16:uniqueId val="{00000000-2C41-4067-85B7-A40BBA19C9FF}"/>
            </c:ext>
          </c:extLst>
        </c:ser>
        <c:dLbls>
          <c:showLegendKey val="0"/>
          <c:showVal val="0"/>
          <c:showCatName val="0"/>
          <c:showSerName val="0"/>
          <c:showPercent val="0"/>
          <c:showBubbleSize val="0"/>
        </c:dLbls>
        <c:gapWidth val="182"/>
        <c:axId val="92327375"/>
        <c:axId val="92331215"/>
      </c:barChart>
      <c:catAx>
        <c:axId val="9232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215"/>
        <c:crosses val="autoZero"/>
        <c:auto val="1"/>
        <c:lblAlgn val="ctr"/>
        <c:lblOffset val="100"/>
        <c:noMultiLvlLbl val="0"/>
      </c:catAx>
      <c:valAx>
        <c:axId val="92331215"/>
        <c:scaling>
          <c:orientation val="minMax"/>
        </c:scaling>
        <c:delete val="1"/>
        <c:axPos val="b"/>
        <c:numFmt formatCode="General" sourceLinked="1"/>
        <c:majorTickMark val="none"/>
        <c:minorTickMark val="none"/>
        <c:tickLblPos val="nextTo"/>
        <c:crossAx val="9232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tables'!$A$91:$A$97</c:f>
              <c:strCache>
                <c:ptCount val="6"/>
                <c:pt idx="0">
                  <c:v>4K LED TV's</c:v>
                </c:pt>
                <c:pt idx="1">
                  <c:v>Furniture</c:v>
                </c:pt>
                <c:pt idx="2">
                  <c:v>Laptops</c:v>
                </c:pt>
                <c:pt idx="3">
                  <c:v>LED TV's</c:v>
                </c:pt>
                <c:pt idx="4">
                  <c:v>Mobiles</c:v>
                </c:pt>
                <c:pt idx="5">
                  <c:v>Speakers</c:v>
                </c:pt>
              </c:strCache>
            </c:strRef>
          </c:cat>
          <c:val>
            <c:numRef>
              <c:f>'pivot tables'!$B$91:$B$97</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6851-4794-8784-DD5245318677}"/>
            </c:ext>
          </c:extLst>
        </c:ser>
        <c:dLbls>
          <c:showLegendKey val="0"/>
          <c:showVal val="0"/>
          <c:showCatName val="0"/>
          <c:showSerName val="0"/>
          <c:showPercent val="0"/>
          <c:showBubbleSize val="0"/>
        </c:dLbls>
        <c:gapWidth val="219"/>
        <c:overlap val="-27"/>
        <c:axId val="1472843983"/>
        <c:axId val="1472860783"/>
      </c:barChart>
      <c:catAx>
        <c:axId val="14728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60783"/>
        <c:crosses val="autoZero"/>
        <c:auto val="1"/>
        <c:lblAlgn val="ctr"/>
        <c:lblOffset val="100"/>
        <c:noMultiLvlLbl val="0"/>
      </c:catAx>
      <c:valAx>
        <c:axId val="1472860783"/>
        <c:scaling>
          <c:orientation val="minMax"/>
        </c:scaling>
        <c:delete val="1"/>
        <c:axPos val="l"/>
        <c:numFmt formatCode="General" sourceLinked="1"/>
        <c:majorTickMark val="none"/>
        <c:minorTickMark val="none"/>
        <c:tickLblPos val="nextTo"/>
        <c:crossAx val="147284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chemeClr val="accent1"/>
            </a:solidFill>
            <a:ln>
              <a:noFill/>
            </a:ln>
            <a:effectLst/>
          </c:spPr>
          <c:invertIfNegative val="0"/>
          <c:cat>
            <c:strRef>
              <c:f>'pivot tables'!$A$123:$A$126</c:f>
              <c:strCache>
                <c:ptCount val="3"/>
                <c:pt idx="0">
                  <c:v>Ganesh</c:v>
                </c:pt>
                <c:pt idx="1">
                  <c:v>Gopi</c:v>
                </c:pt>
                <c:pt idx="2">
                  <c:v>Kiran</c:v>
                </c:pt>
              </c:strCache>
            </c:strRef>
          </c:cat>
          <c:val>
            <c:numRef>
              <c:f>'pivot tables'!$B$123:$B$126</c:f>
              <c:numCache>
                <c:formatCode>General</c:formatCode>
                <c:ptCount val="3"/>
                <c:pt idx="0">
                  <c:v>1687</c:v>
                </c:pt>
                <c:pt idx="1">
                  <c:v>1534</c:v>
                </c:pt>
                <c:pt idx="2">
                  <c:v>1407</c:v>
                </c:pt>
              </c:numCache>
            </c:numRef>
          </c:val>
          <c:extLst>
            <c:ext xmlns:c16="http://schemas.microsoft.com/office/drawing/2014/chart" uri="{C3380CC4-5D6E-409C-BE32-E72D297353CC}">
              <c16:uniqueId val="{00000000-F464-4E3B-8B62-A12621E6FFB2}"/>
            </c:ext>
          </c:extLst>
        </c:ser>
        <c:dLbls>
          <c:showLegendKey val="0"/>
          <c:showVal val="0"/>
          <c:showCatName val="0"/>
          <c:showSerName val="0"/>
          <c:showPercent val="0"/>
          <c:showBubbleSize val="0"/>
        </c:dLbls>
        <c:gapWidth val="182"/>
        <c:axId val="196911279"/>
        <c:axId val="196911759"/>
      </c:barChart>
      <c:catAx>
        <c:axId val="19691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1759"/>
        <c:crosses val="autoZero"/>
        <c:auto val="1"/>
        <c:lblAlgn val="ctr"/>
        <c:lblOffset val="100"/>
        <c:noMultiLvlLbl val="0"/>
      </c:catAx>
      <c:valAx>
        <c:axId val="196911759"/>
        <c:scaling>
          <c:orientation val="minMax"/>
        </c:scaling>
        <c:delete val="1"/>
        <c:axPos val="b"/>
        <c:numFmt formatCode="General" sourceLinked="1"/>
        <c:majorTickMark val="none"/>
        <c:minorTickMark val="none"/>
        <c:tickLblPos val="nextTo"/>
        <c:crossAx val="19691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tables!PivotTable13</c:name>
    <c:fmtId val="3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tables'!$B$130</c:f>
              <c:strCache>
                <c:ptCount val="1"/>
                <c:pt idx="0">
                  <c:v>Total</c:v>
                </c:pt>
              </c:strCache>
            </c:strRef>
          </c:tx>
          <c:spPr>
            <a:solidFill>
              <a:schemeClr val="accent1"/>
            </a:solidFill>
            <a:ln>
              <a:noFill/>
            </a:ln>
            <a:effectLst/>
          </c:spPr>
          <c:invertIfNegative val="0"/>
          <c:cat>
            <c:strRef>
              <c:f>'pivot tables'!$A$131:$A$134</c:f>
              <c:strCache>
                <c:ptCount val="3"/>
                <c:pt idx="0">
                  <c:v>Mahesh</c:v>
                </c:pt>
                <c:pt idx="1">
                  <c:v>Prathap</c:v>
                </c:pt>
                <c:pt idx="2">
                  <c:v>Ramesh</c:v>
                </c:pt>
              </c:strCache>
            </c:strRef>
          </c:cat>
          <c:val>
            <c:numRef>
              <c:f>'pivot tables'!$B$131:$B$134</c:f>
              <c:numCache>
                <c:formatCode>General</c:formatCode>
                <c:ptCount val="3"/>
                <c:pt idx="0">
                  <c:v>810</c:v>
                </c:pt>
                <c:pt idx="1">
                  <c:v>1285</c:v>
                </c:pt>
                <c:pt idx="2">
                  <c:v>947</c:v>
                </c:pt>
              </c:numCache>
            </c:numRef>
          </c:val>
          <c:extLst>
            <c:ext xmlns:c16="http://schemas.microsoft.com/office/drawing/2014/chart" uri="{C3380CC4-5D6E-409C-BE32-E72D297353CC}">
              <c16:uniqueId val="{00000000-B5BE-494C-B8B4-48CA563AE46F}"/>
            </c:ext>
          </c:extLst>
        </c:ser>
        <c:dLbls>
          <c:showLegendKey val="0"/>
          <c:showVal val="0"/>
          <c:showCatName val="0"/>
          <c:showSerName val="0"/>
          <c:showPercent val="0"/>
          <c:showBubbleSize val="0"/>
        </c:dLbls>
        <c:gapWidth val="182"/>
        <c:axId val="99246383"/>
        <c:axId val="99248303"/>
      </c:barChart>
      <c:catAx>
        <c:axId val="9924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8303"/>
        <c:crosses val="autoZero"/>
        <c:auto val="1"/>
        <c:lblAlgn val="ctr"/>
        <c:lblOffset val="100"/>
        <c:noMultiLvlLbl val="0"/>
      </c:catAx>
      <c:valAx>
        <c:axId val="99248303"/>
        <c:scaling>
          <c:orientation val="minMax"/>
        </c:scaling>
        <c:delete val="1"/>
        <c:axPos val="b"/>
        <c:numFmt formatCode="General" sourceLinked="1"/>
        <c:majorTickMark val="none"/>
        <c:minorTickMark val="none"/>
        <c:tickLblPos val="nextTo"/>
        <c:crossAx val="9924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tables'!$A$150:$A$156</c:f>
              <c:strCache>
                <c:ptCount val="6"/>
                <c:pt idx="0">
                  <c:v>Ganesh</c:v>
                </c:pt>
                <c:pt idx="1">
                  <c:v>Gopi</c:v>
                </c:pt>
                <c:pt idx="2">
                  <c:v>Kiran</c:v>
                </c:pt>
                <c:pt idx="3">
                  <c:v>Mahesh</c:v>
                </c:pt>
                <c:pt idx="4">
                  <c:v>Prathap</c:v>
                </c:pt>
                <c:pt idx="5">
                  <c:v>Ramesh</c:v>
                </c:pt>
              </c:strCache>
            </c:strRef>
          </c:cat>
          <c:val>
            <c:numRef>
              <c:f>'pivot tables'!$B$150:$B$156</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88BD-4095-9113-D9526B6A31D4}"/>
            </c:ext>
          </c:extLst>
        </c:ser>
        <c:dLbls>
          <c:showLegendKey val="0"/>
          <c:showVal val="0"/>
          <c:showCatName val="0"/>
          <c:showSerName val="0"/>
          <c:showPercent val="0"/>
          <c:showBubbleSize val="0"/>
        </c:dLbls>
        <c:gapWidth val="219"/>
        <c:overlap val="-27"/>
        <c:axId val="196859919"/>
        <c:axId val="196864719"/>
      </c:barChart>
      <c:catAx>
        <c:axId val="19685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4719"/>
        <c:crosses val="autoZero"/>
        <c:auto val="1"/>
        <c:lblAlgn val="ctr"/>
        <c:lblOffset val="100"/>
        <c:noMultiLvlLbl val="0"/>
      </c:catAx>
      <c:valAx>
        <c:axId val="196864719"/>
        <c:scaling>
          <c:orientation val="minMax"/>
        </c:scaling>
        <c:delete val="1"/>
        <c:axPos val="l"/>
        <c:numFmt formatCode="General" sourceLinked="1"/>
        <c:majorTickMark val="none"/>
        <c:minorTickMark val="none"/>
        <c:tickLblPos val="nextTo"/>
        <c:crossAx val="19685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ABOUT!A1"/><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12.xml"/><Relationship Id="rId5" Type="http://schemas.openxmlformats.org/officeDocument/2006/relationships/hyperlink" Target="#'SALES MANS'!A1"/><Relationship Id="rId10" Type="http://schemas.openxmlformats.org/officeDocument/2006/relationships/chart" Target="../charts/chart11.xml"/><Relationship Id="rId4" Type="http://schemas.openxmlformats.org/officeDocument/2006/relationships/hyperlink" Target="#PRODUCTS!A1"/><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boards!A1"/><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hyperlink" Target="#'SALES MANS'!A1"/><Relationship Id="rId4" Type="http://schemas.openxmlformats.org/officeDocument/2006/relationships/hyperlink" Target="#ABOUT!A1"/></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Dashboards!A1"/><Relationship Id="rId7"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hyperlink" Target="#PRODUCTS!A1"/><Relationship Id="rId4" Type="http://schemas.openxmlformats.org/officeDocument/2006/relationships/hyperlink" Target="#ABOUT!A1"/></Relationships>
</file>

<file path=xl/drawings/_rels/drawing5.xml.rels><?xml version="1.0" encoding="UTF-8" standalone="yes"?>
<Relationships xmlns="http://schemas.openxmlformats.org/package/2006/relationships"><Relationship Id="rId3" Type="http://schemas.openxmlformats.org/officeDocument/2006/relationships/hyperlink" Target="#'SALES MANS'!A1"/><Relationship Id="rId2" Type="http://schemas.openxmlformats.org/officeDocument/2006/relationships/hyperlink" Target="#PRODUCTS!A1"/><Relationship Id="rId1" Type="http://schemas.openxmlformats.org/officeDocument/2006/relationships/hyperlink" Target="#Dashboards!A1"/><Relationship Id="rId5" Type="http://schemas.openxmlformats.org/officeDocument/2006/relationships/image" Target="../media/image7.sv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426720</xdr:colOff>
      <xdr:row>0</xdr:row>
      <xdr:rowOff>0</xdr:rowOff>
    </xdr:from>
    <xdr:to>
      <xdr:col>11</xdr:col>
      <xdr:colOff>121920</xdr:colOff>
      <xdr:row>15</xdr:row>
      <xdr:rowOff>0</xdr:rowOff>
    </xdr:to>
    <xdr:graphicFrame macro="">
      <xdr:nvGraphicFramePr>
        <xdr:cNvPr id="5" name="Chart 4">
          <a:extLst>
            <a:ext uri="{FF2B5EF4-FFF2-40B4-BE49-F238E27FC236}">
              <a16:creationId xmlns:a16="http://schemas.microsoft.com/office/drawing/2014/main" id="{4BFE305D-C11A-AD01-4DE6-092041691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15</xdr:row>
      <xdr:rowOff>26670</xdr:rowOff>
    </xdr:from>
    <xdr:to>
      <xdr:col>11</xdr:col>
      <xdr:colOff>449580</xdr:colOff>
      <xdr:row>30</xdr:row>
      <xdr:rowOff>26670</xdr:rowOff>
    </xdr:to>
    <xdr:graphicFrame macro="">
      <xdr:nvGraphicFramePr>
        <xdr:cNvPr id="6" name="Chart 5">
          <a:extLst>
            <a:ext uri="{FF2B5EF4-FFF2-40B4-BE49-F238E27FC236}">
              <a16:creationId xmlns:a16="http://schemas.microsoft.com/office/drawing/2014/main" id="{4B22A965-E817-7B07-9361-6EF289678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31</xdr:row>
      <xdr:rowOff>34290</xdr:rowOff>
    </xdr:from>
    <xdr:to>
      <xdr:col>11</xdr:col>
      <xdr:colOff>426720</xdr:colOff>
      <xdr:row>46</xdr:row>
      <xdr:rowOff>34290</xdr:rowOff>
    </xdr:to>
    <xdr:graphicFrame macro="">
      <xdr:nvGraphicFramePr>
        <xdr:cNvPr id="7" name="Chart 6">
          <a:extLst>
            <a:ext uri="{FF2B5EF4-FFF2-40B4-BE49-F238E27FC236}">
              <a16:creationId xmlns:a16="http://schemas.microsoft.com/office/drawing/2014/main" id="{08F4D785-6DC5-A715-7AA1-3E81488F2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449580</xdr:colOff>
      <xdr:row>45</xdr:row>
      <xdr:rowOff>95250</xdr:rowOff>
    </xdr:from>
    <xdr:to>
      <xdr:col>14</xdr:col>
      <xdr:colOff>754380</xdr:colOff>
      <xdr:row>60</xdr:row>
      <xdr:rowOff>95250</xdr:rowOff>
    </xdr:to>
    <xdr:graphicFrame macro="">
      <xdr:nvGraphicFramePr>
        <xdr:cNvPr id="8" name="Chart 7">
          <a:extLst>
            <a:ext uri="{FF2B5EF4-FFF2-40B4-BE49-F238E27FC236}">
              <a16:creationId xmlns:a16="http://schemas.microsoft.com/office/drawing/2014/main" id="{9FDC5520-015A-DB4D-0CB4-36C5FE6BE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533400</xdr:colOff>
      <xdr:row>60</xdr:row>
      <xdr:rowOff>3810</xdr:rowOff>
    </xdr:from>
    <xdr:to>
      <xdr:col>8</xdr:col>
      <xdr:colOff>205740</xdr:colOff>
      <xdr:row>75</xdr:row>
      <xdr:rowOff>3810</xdr:rowOff>
    </xdr:to>
    <xdr:graphicFrame macro="">
      <xdr:nvGraphicFramePr>
        <xdr:cNvPr id="9" name="Chart 8">
          <a:extLst>
            <a:ext uri="{FF2B5EF4-FFF2-40B4-BE49-F238E27FC236}">
              <a16:creationId xmlns:a16="http://schemas.microsoft.com/office/drawing/2014/main" id="{245886BA-9907-CE7F-3556-0782D43A2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426720</xdr:colOff>
      <xdr:row>95</xdr:row>
      <xdr:rowOff>148590</xdr:rowOff>
    </xdr:from>
    <xdr:to>
      <xdr:col>11</xdr:col>
      <xdr:colOff>121920</xdr:colOff>
      <xdr:row>110</xdr:row>
      <xdr:rowOff>148590</xdr:rowOff>
    </xdr:to>
    <xdr:graphicFrame macro="">
      <xdr:nvGraphicFramePr>
        <xdr:cNvPr id="10" name="Chart 9">
          <a:extLst>
            <a:ext uri="{FF2B5EF4-FFF2-40B4-BE49-F238E27FC236}">
              <a16:creationId xmlns:a16="http://schemas.microsoft.com/office/drawing/2014/main" id="{73DBBEA4-738B-414F-A1A7-0CD7FFAE7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426720</xdr:colOff>
      <xdr:row>112</xdr:row>
      <xdr:rowOff>148590</xdr:rowOff>
    </xdr:from>
    <xdr:to>
      <xdr:col>11</xdr:col>
      <xdr:colOff>121920</xdr:colOff>
      <xdr:row>127</xdr:row>
      <xdr:rowOff>148590</xdr:rowOff>
    </xdr:to>
    <xdr:graphicFrame macro="">
      <xdr:nvGraphicFramePr>
        <xdr:cNvPr id="11" name="Chart 10">
          <a:extLst>
            <a:ext uri="{FF2B5EF4-FFF2-40B4-BE49-F238E27FC236}">
              <a16:creationId xmlns:a16="http://schemas.microsoft.com/office/drawing/2014/main" id="{9EAE838A-E5A3-11F4-3929-C2273764D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449580</xdr:colOff>
      <xdr:row>130</xdr:row>
      <xdr:rowOff>95250</xdr:rowOff>
    </xdr:from>
    <xdr:to>
      <xdr:col>11</xdr:col>
      <xdr:colOff>144780</xdr:colOff>
      <xdr:row>145</xdr:row>
      <xdr:rowOff>95250</xdr:rowOff>
    </xdr:to>
    <xdr:graphicFrame macro="">
      <xdr:nvGraphicFramePr>
        <xdr:cNvPr id="12" name="Chart 11">
          <a:extLst>
            <a:ext uri="{FF2B5EF4-FFF2-40B4-BE49-F238E27FC236}">
              <a16:creationId xmlns:a16="http://schemas.microsoft.com/office/drawing/2014/main" id="{FFA4AB1E-17F3-89A1-853E-CB78E78A7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466725</xdr:colOff>
      <xdr:row>147</xdr:row>
      <xdr:rowOff>23813</xdr:rowOff>
    </xdr:from>
    <xdr:to>
      <xdr:col>13</xdr:col>
      <xdr:colOff>161925</xdr:colOff>
      <xdr:row>162</xdr:row>
      <xdr:rowOff>52388</xdr:rowOff>
    </xdr:to>
    <xdr:graphicFrame macro="">
      <xdr:nvGraphicFramePr>
        <xdr:cNvPr id="13" name="Chart 12">
          <a:extLst>
            <a:ext uri="{FF2B5EF4-FFF2-40B4-BE49-F238E27FC236}">
              <a16:creationId xmlns:a16="http://schemas.microsoft.com/office/drawing/2014/main" id="{A98B70F6-9D39-721A-6275-695365214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22</xdr:col>
      <xdr:colOff>586740</xdr:colOff>
      <xdr:row>31</xdr:row>
      <xdr:rowOff>68580</xdr:rowOff>
    </xdr:to>
    <xdr:sp macro="" textlink="">
      <xdr:nvSpPr>
        <xdr:cNvPr id="3" name="Rectangle: Rounded Corners 2">
          <a:extLst>
            <a:ext uri="{FF2B5EF4-FFF2-40B4-BE49-F238E27FC236}">
              <a16:creationId xmlns:a16="http://schemas.microsoft.com/office/drawing/2014/main" id="{992CEFE2-6A5F-8030-531A-DB14142EEDE8}"/>
            </a:ext>
          </a:extLst>
        </xdr:cNvPr>
        <xdr:cNvSpPr/>
      </xdr:nvSpPr>
      <xdr:spPr>
        <a:xfrm>
          <a:off x="129540" y="53340"/>
          <a:ext cx="13868400" cy="5684520"/>
        </a:xfrm>
        <a:prstGeom prst="roundRect">
          <a:avLst>
            <a:gd name="adj" fmla="val 37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0</xdr:row>
      <xdr:rowOff>83820</xdr:rowOff>
    </xdr:from>
    <xdr:to>
      <xdr:col>22</xdr:col>
      <xdr:colOff>541020</xdr:colOff>
      <xdr:row>31</xdr:row>
      <xdr:rowOff>15240</xdr:rowOff>
    </xdr:to>
    <xdr:sp macro="" textlink="">
      <xdr:nvSpPr>
        <xdr:cNvPr id="4" name="Rectangle: Rounded Corners 3">
          <a:extLst>
            <a:ext uri="{FF2B5EF4-FFF2-40B4-BE49-F238E27FC236}">
              <a16:creationId xmlns:a16="http://schemas.microsoft.com/office/drawing/2014/main" id="{9213A956-C173-49F6-A93C-74936FF30712}"/>
            </a:ext>
          </a:extLst>
        </xdr:cNvPr>
        <xdr:cNvSpPr/>
      </xdr:nvSpPr>
      <xdr:spPr>
        <a:xfrm>
          <a:off x="2743200" y="83820"/>
          <a:ext cx="11209020" cy="5705687"/>
        </a:xfrm>
        <a:prstGeom prst="roundRect">
          <a:avLst>
            <a:gd name="adj" fmla="val 379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411480</xdr:colOff>
      <xdr:row>0</xdr:row>
      <xdr:rowOff>129540</xdr:rowOff>
    </xdr:from>
    <xdr:to>
      <xdr:col>14</xdr:col>
      <xdr:colOff>190500</xdr:colOff>
      <xdr:row>7</xdr:row>
      <xdr:rowOff>15240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8B1DFBBE-A33D-436B-A7DB-7BEA63625E4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849880" y="129540"/>
              <a:ext cx="5875020" cy="1189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251460</xdr:colOff>
      <xdr:row>0</xdr:row>
      <xdr:rowOff>121920</xdr:rowOff>
    </xdr:from>
    <xdr:to>
      <xdr:col>22</xdr:col>
      <xdr:colOff>403860</xdr:colOff>
      <xdr:row>7</xdr:row>
      <xdr:rowOff>38100</xdr:rowOff>
    </xdr:to>
    <mc:AlternateContent xmlns:mc="http://schemas.openxmlformats.org/markup-compatibility/2006" xmlns:a14="http://schemas.microsoft.com/office/drawing/2010/main">
      <mc:Choice Requires="a14">
        <xdr:graphicFrame macro="">
          <xdr:nvGraphicFramePr>
            <xdr:cNvPr id="6" name="Place 1">
              <a:extLst>
                <a:ext uri="{FF2B5EF4-FFF2-40B4-BE49-F238E27FC236}">
                  <a16:creationId xmlns:a16="http://schemas.microsoft.com/office/drawing/2014/main" id="{67B7E7C3-DE5E-406A-AEC6-05C31A5CC98E}"/>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785860" y="121920"/>
              <a:ext cx="5029200" cy="122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7</xdr:row>
      <xdr:rowOff>76200</xdr:rowOff>
    </xdr:from>
    <xdr:to>
      <xdr:col>22</xdr:col>
      <xdr:colOff>411480</xdr:colOff>
      <xdr:row>10</xdr:row>
      <xdr:rowOff>167640</xdr:rowOff>
    </xdr:to>
    <mc:AlternateContent xmlns:mc="http://schemas.openxmlformats.org/markup-compatibility/2006" xmlns:a14="http://schemas.microsoft.com/office/drawing/2010/main">
      <mc:Choice Requires="a14">
        <xdr:graphicFrame macro="">
          <xdr:nvGraphicFramePr>
            <xdr:cNvPr id="7" name="Products 1">
              <a:extLst>
                <a:ext uri="{FF2B5EF4-FFF2-40B4-BE49-F238E27FC236}">
                  <a16:creationId xmlns:a16="http://schemas.microsoft.com/office/drawing/2014/main" id="{1AA5D13B-E0C0-4058-B355-910431AB0D73}"/>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872740" y="1380067"/>
              <a:ext cx="10949940" cy="65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10</xdr:row>
      <xdr:rowOff>129540</xdr:rowOff>
    </xdr:from>
    <xdr:to>
      <xdr:col>5</xdr:col>
      <xdr:colOff>396240</xdr:colOff>
      <xdr:row>14</xdr:row>
      <xdr:rowOff>60960</xdr:rowOff>
    </xdr:to>
    <xdr:pic>
      <xdr:nvPicPr>
        <xdr:cNvPr id="9" name="Graphic 8" descr="Bar chart with solid fill">
          <a:extLst>
            <a:ext uri="{FF2B5EF4-FFF2-40B4-BE49-F238E27FC236}">
              <a16:creationId xmlns:a16="http://schemas.microsoft.com/office/drawing/2014/main" id="{C66B7822-1364-4E86-14DA-BEB454141D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1300" y="1958340"/>
          <a:ext cx="662940" cy="662940"/>
        </a:xfrm>
        <a:prstGeom prst="rect">
          <a:avLst/>
        </a:prstGeom>
      </xdr:spPr>
    </xdr:pic>
    <xdr:clientData/>
  </xdr:twoCellAnchor>
  <xdr:twoCellAnchor>
    <xdr:from>
      <xdr:col>5</xdr:col>
      <xdr:colOff>274320</xdr:colOff>
      <xdr:row>11</xdr:row>
      <xdr:rowOff>152400</xdr:rowOff>
    </xdr:from>
    <xdr:to>
      <xdr:col>8</xdr:col>
      <xdr:colOff>556260</xdr:colOff>
      <xdr:row>14</xdr:row>
      <xdr:rowOff>106680</xdr:rowOff>
    </xdr:to>
    <xdr:sp macro="" textlink="">
      <xdr:nvSpPr>
        <xdr:cNvPr id="10" name="Rectangle 9">
          <a:extLst>
            <a:ext uri="{FF2B5EF4-FFF2-40B4-BE49-F238E27FC236}">
              <a16:creationId xmlns:a16="http://schemas.microsoft.com/office/drawing/2014/main" id="{A99E3113-948B-0377-568B-9339292FDDA7}"/>
            </a:ext>
          </a:extLst>
        </xdr:cNvPr>
        <xdr:cNvSpPr/>
      </xdr:nvSpPr>
      <xdr:spPr>
        <a:xfrm>
          <a:off x="3322320" y="2164080"/>
          <a:ext cx="211074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cap="none" spc="0">
              <a:ln w="0"/>
              <a:solidFill>
                <a:schemeClr val="tx2">
                  <a:lumMod val="90000"/>
                  <a:lumOff val="10000"/>
                </a:schemeClr>
              </a:solidFill>
              <a:effectLst>
                <a:outerShdw blurRad="38100" dist="19050" dir="2700000" algn="tl" rotWithShape="0">
                  <a:schemeClr val="dk1">
                    <a:alpha val="40000"/>
                  </a:schemeClr>
                </a:outerShdw>
              </a:effectLst>
            </a:rPr>
            <a:t>ANALYTICS</a:t>
          </a:r>
        </a:p>
      </xdr:txBody>
    </xdr:sp>
    <xdr:clientData/>
  </xdr:twoCellAnchor>
  <xdr:twoCellAnchor>
    <xdr:from>
      <xdr:col>4</xdr:col>
      <xdr:colOff>327660</xdr:colOff>
      <xdr:row>14</xdr:row>
      <xdr:rowOff>45720</xdr:rowOff>
    </xdr:from>
    <xdr:to>
      <xdr:col>8</xdr:col>
      <xdr:colOff>594360</xdr:colOff>
      <xdr:row>18</xdr:row>
      <xdr:rowOff>99060</xdr:rowOff>
    </xdr:to>
    <xdr:sp macro="" textlink="">
      <xdr:nvSpPr>
        <xdr:cNvPr id="11" name="Rectangle: Rounded Corners 10">
          <a:extLst>
            <a:ext uri="{FF2B5EF4-FFF2-40B4-BE49-F238E27FC236}">
              <a16:creationId xmlns:a16="http://schemas.microsoft.com/office/drawing/2014/main" id="{82E54BBE-75DA-387C-6F8B-266F6BA569B4}"/>
            </a:ext>
          </a:extLst>
        </xdr:cNvPr>
        <xdr:cNvSpPr/>
      </xdr:nvSpPr>
      <xdr:spPr>
        <a:xfrm>
          <a:off x="2766060" y="2606040"/>
          <a:ext cx="2705100" cy="78486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60960</xdr:colOff>
      <xdr:row>14</xdr:row>
      <xdr:rowOff>60960</xdr:rowOff>
    </xdr:from>
    <xdr:to>
      <xdr:col>13</xdr:col>
      <xdr:colOff>327660</xdr:colOff>
      <xdr:row>18</xdr:row>
      <xdr:rowOff>114300</xdr:rowOff>
    </xdr:to>
    <xdr:sp macro="" textlink="">
      <xdr:nvSpPr>
        <xdr:cNvPr id="12" name="Rectangle: Rounded Corners 11">
          <a:extLst>
            <a:ext uri="{FF2B5EF4-FFF2-40B4-BE49-F238E27FC236}">
              <a16:creationId xmlns:a16="http://schemas.microsoft.com/office/drawing/2014/main" id="{D36D0F63-03FB-41E4-889C-B41FD22EAE73}"/>
            </a:ext>
          </a:extLst>
        </xdr:cNvPr>
        <xdr:cNvSpPr/>
      </xdr:nvSpPr>
      <xdr:spPr>
        <a:xfrm>
          <a:off x="5547360" y="2621280"/>
          <a:ext cx="2705100" cy="78486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137160</xdr:colOff>
      <xdr:row>14</xdr:row>
      <xdr:rowOff>53340</xdr:rowOff>
    </xdr:from>
    <xdr:to>
      <xdr:col>8</xdr:col>
      <xdr:colOff>541020</xdr:colOff>
      <xdr:row>18</xdr:row>
      <xdr:rowOff>106680</xdr:rowOff>
    </xdr:to>
    <xdr:sp macro="" textlink="">
      <xdr:nvSpPr>
        <xdr:cNvPr id="13" name="Rectangle: Rounded Corners 12">
          <a:extLst>
            <a:ext uri="{FF2B5EF4-FFF2-40B4-BE49-F238E27FC236}">
              <a16:creationId xmlns:a16="http://schemas.microsoft.com/office/drawing/2014/main" id="{700BBBA1-CC50-4695-8B34-03489F528DE6}"/>
            </a:ext>
          </a:extLst>
        </xdr:cNvPr>
        <xdr:cNvSpPr/>
      </xdr:nvSpPr>
      <xdr:spPr>
        <a:xfrm>
          <a:off x="3185160" y="2613660"/>
          <a:ext cx="223266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472440</xdr:colOff>
      <xdr:row>14</xdr:row>
      <xdr:rowOff>60960</xdr:rowOff>
    </xdr:from>
    <xdr:to>
      <xdr:col>13</xdr:col>
      <xdr:colOff>266700</xdr:colOff>
      <xdr:row>18</xdr:row>
      <xdr:rowOff>114300</xdr:rowOff>
    </xdr:to>
    <xdr:sp macro="" textlink="">
      <xdr:nvSpPr>
        <xdr:cNvPr id="14" name="Rectangle: Rounded Corners 13">
          <a:extLst>
            <a:ext uri="{FF2B5EF4-FFF2-40B4-BE49-F238E27FC236}">
              <a16:creationId xmlns:a16="http://schemas.microsoft.com/office/drawing/2014/main" id="{AD6B674F-A3B6-4702-A1BF-29EC48D0BB78}"/>
            </a:ext>
          </a:extLst>
        </xdr:cNvPr>
        <xdr:cNvSpPr/>
      </xdr:nvSpPr>
      <xdr:spPr>
        <a:xfrm>
          <a:off x="5958840" y="2621280"/>
          <a:ext cx="223266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396240</xdr:colOff>
      <xdr:row>18</xdr:row>
      <xdr:rowOff>167640</xdr:rowOff>
    </xdr:from>
    <xdr:to>
      <xdr:col>13</xdr:col>
      <xdr:colOff>304800</xdr:colOff>
      <xdr:row>30</xdr:row>
      <xdr:rowOff>114300</xdr:rowOff>
    </xdr:to>
    <xdr:sp macro="" textlink="">
      <xdr:nvSpPr>
        <xdr:cNvPr id="15" name="Rectangle 14">
          <a:extLst>
            <a:ext uri="{FF2B5EF4-FFF2-40B4-BE49-F238E27FC236}">
              <a16:creationId xmlns:a16="http://schemas.microsoft.com/office/drawing/2014/main" id="{F76B5C5D-5C0D-BF1A-26B6-47E47379C6A7}"/>
            </a:ext>
          </a:extLst>
        </xdr:cNvPr>
        <xdr:cNvSpPr/>
      </xdr:nvSpPr>
      <xdr:spPr>
        <a:xfrm>
          <a:off x="2834640" y="3459480"/>
          <a:ext cx="5394960" cy="2141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487680</xdr:colOff>
      <xdr:row>11</xdr:row>
      <xdr:rowOff>22860</xdr:rowOff>
    </xdr:from>
    <xdr:to>
      <xdr:col>22</xdr:col>
      <xdr:colOff>396240</xdr:colOff>
      <xdr:row>20</xdr:row>
      <xdr:rowOff>106680</xdr:rowOff>
    </xdr:to>
    <xdr:sp macro="" textlink="">
      <xdr:nvSpPr>
        <xdr:cNvPr id="16" name="Rectangle 15">
          <a:extLst>
            <a:ext uri="{FF2B5EF4-FFF2-40B4-BE49-F238E27FC236}">
              <a16:creationId xmlns:a16="http://schemas.microsoft.com/office/drawing/2014/main" id="{0C9CDB52-8414-4500-834B-16D9058A0C21}"/>
            </a:ext>
          </a:extLst>
        </xdr:cNvPr>
        <xdr:cNvSpPr/>
      </xdr:nvSpPr>
      <xdr:spPr>
        <a:xfrm>
          <a:off x="8412480" y="2034540"/>
          <a:ext cx="5394960" cy="17297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495300</xdr:colOff>
      <xdr:row>20</xdr:row>
      <xdr:rowOff>160020</xdr:rowOff>
    </xdr:from>
    <xdr:to>
      <xdr:col>22</xdr:col>
      <xdr:colOff>403860</xdr:colOff>
      <xdr:row>30</xdr:row>
      <xdr:rowOff>129540</xdr:rowOff>
    </xdr:to>
    <xdr:sp macro="" textlink="">
      <xdr:nvSpPr>
        <xdr:cNvPr id="17" name="Rectangle 16">
          <a:extLst>
            <a:ext uri="{FF2B5EF4-FFF2-40B4-BE49-F238E27FC236}">
              <a16:creationId xmlns:a16="http://schemas.microsoft.com/office/drawing/2014/main" id="{00BDD7E2-A4BF-4AD8-A704-429852214B80}"/>
            </a:ext>
          </a:extLst>
        </xdr:cNvPr>
        <xdr:cNvSpPr/>
      </xdr:nvSpPr>
      <xdr:spPr>
        <a:xfrm>
          <a:off x="8420100" y="3817620"/>
          <a:ext cx="5394960" cy="1798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7</xdr:row>
      <xdr:rowOff>30480</xdr:rowOff>
    </xdr:from>
    <xdr:to>
      <xdr:col>4</xdr:col>
      <xdr:colOff>198120</xdr:colOff>
      <xdr:row>10</xdr:row>
      <xdr:rowOff>106680</xdr:rowOff>
    </xdr:to>
    <xdr:sp macro="" textlink="">
      <xdr:nvSpPr>
        <xdr:cNvPr id="18" name="Rectangle: Rounded Corners 17">
          <a:extLst>
            <a:ext uri="{FF2B5EF4-FFF2-40B4-BE49-F238E27FC236}">
              <a16:creationId xmlns:a16="http://schemas.microsoft.com/office/drawing/2014/main" id="{E6B5A752-F0B7-3049-0976-75BC9FCE3108}"/>
            </a:ext>
          </a:extLst>
        </xdr:cNvPr>
        <xdr:cNvSpPr/>
      </xdr:nvSpPr>
      <xdr:spPr>
        <a:xfrm>
          <a:off x="243840" y="1310640"/>
          <a:ext cx="2392680" cy="624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DASH BOARD</a:t>
          </a:r>
        </a:p>
      </xdr:txBody>
    </xdr:sp>
    <xdr:clientData/>
  </xdr:twoCellAnchor>
  <xdr:twoCellAnchor>
    <xdr:from>
      <xdr:col>0</xdr:col>
      <xdr:colOff>243840</xdr:colOff>
      <xdr:row>19</xdr:row>
      <xdr:rowOff>114300</xdr:rowOff>
    </xdr:from>
    <xdr:to>
      <xdr:col>4</xdr:col>
      <xdr:colOff>198120</xdr:colOff>
      <xdr:row>23</xdr:row>
      <xdr:rowOff>7620</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1F8F99D1-2BBA-4E24-B3FB-EBB46E346A73}"/>
            </a:ext>
          </a:extLst>
        </xdr:cNvPr>
        <xdr:cNvSpPr/>
      </xdr:nvSpPr>
      <xdr:spPr>
        <a:xfrm>
          <a:off x="243840" y="3589020"/>
          <a:ext cx="2392680" cy="6248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twoCellAnchor>
    <xdr:from>
      <xdr:col>0</xdr:col>
      <xdr:colOff>243840</xdr:colOff>
      <xdr:row>11</xdr:row>
      <xdr:rowOff>53340</xdr:rowOff>
    </xdr:from>
    <xdr:to>
      <xdr:col>4</xdr:col>
      <xdr:colOff>198120</xdr:colOff>
      <xdr:row>14</xdr:row>
      <xdr:rowOff>129540</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DBA7587B-A2EE-4A9F-859F-CC88D93174FC}"/>
            </a:ext>
          </a:extLst>
        </xdr:cNvPr>
        <xdr:cNvSpPr/>
      </xdr:nvSpPr>
      <xdr:spPr>
        <a:xfrm>
          <a:off x="243840" y="2065020"/>
          <a:ext cx="2392680" cy="624840"/>
        </a:xfrm>
        <a:prstGeom prst="roundRect">
          <a:avLst/>
        </a:prstGeom>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PRODUCTS</a:t>
          </a:r>
        </a:p>
      </xdr:txBody>
    </xdr:sp>
    <xdr:clientData/>
  </xdr:twoCellAnchor>
  <xdr:twoCellAnchor>
    <xdr:from>
      <xdr:col>0</xdr:col>
      <xdr:colOff>236220</xdr:colOff>
      <xdr:row>15</xdr:row>
      <xdr:rowOff>83820</xdr:rowOff>
    </xdr:from>
    <xdr:to>
      <xdr:col>4</xdr:col>
      <xdr:colOff>190500</xdr:colOff>
      <xdr:row>18</xdr:row>
      <xdr:rowOff>160020</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024329A7-E2CD-4961-8F46-B6514ADB66E9}"/>
            </a:ext>
          </a:extLst>
        </xdr:cNvPr>
        <xdr:cNvSpPr/>
      </xdr:nvSpPr>
      <xdr:spPr>
        <a:xfrm>
          <a:off x="236220" y="2827020"/>
          <a:ext cx="2392680" cy="6248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 MANS</a:t>
          </a:r>
        </a:p>
      </xdr:txBody>
    </xdr:sp>
    <xdr:clientData/>
  </xdr:twoCellAnchor>
  <xdr:twoCellAnchor>
    <xdr:from>
      <xdr:col>6</xdr:col>
      <xdr:colOff>175260</xdr:colOff>
      <xdr:row>14</xdr:row>
      <xdr:rowOff>30480</xdr:rowOff>
    </xdr:from>
    <xdr:to>
      <xdr:col>9</xdr:col>
      <xdr:colOff>137160</xdr:colOff>
      <xdr:row>16</xdr:row>
      <xdr:rowOff>83820</xdr:rowOff>
    </xdr:to>
    <xdr:sp macro="" textlink="">
      <xdr:nvSpPr>
        <xdr:cNvPr id="25" name="Rectangle 24">
          <a:extLst>
            <a:ext uri="{FF2B5EF4-FFF2-40B4-BE49-F238E27FC236}">
              <a16:creationId xmlns:a16="http://schemas.microsoft.com/office/drawing/2014/main" id="{0E08A28B-D842-4F01-9E6A-BA4A563DFB22}"/>
            </a:ext>
          </a:extLst>
        </xdr:cNvPr>
        <xdr:cNvSpPr/>
      </xdr:nvSpPr>
      <xdr:spPr>
        <a:xfrm>
          <a:off x="3832860" y="2590800"/>
          <a:ext cx="179070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cap="none" spc="0">
              <a:ln w="0"/>
              <a:solidFill>
                <a:srgbClr val="002060"/>
              </a:solidFill>
              <a:effectLst>
                <a:outerShdw blurRad="38100" dist="19050" dir="2700000" algn="tl" rotWithShape="0">
                  <a:schemeClr val="dk1">
                    <a:alpha val="40000"/>
                  </a:schemeClr>
                </a:outerShdw>
              </a:effectLst>
            </a:rPr>
            <a:t>TOTAL</a:t>
          </a:r>
          <a:r>
            <a:rPr lang="en-US" sz="1600" b="1" cap="none" spc="0" baseline="0">
              <a:ln w="0"/>
              <a:solidFill>
                <a:srgbClr val="002060"/>
              </a:solidFill>
              <a:effectLst>
                <a:outerShdw blurRad="38100" dist="19050" dir="2700000" algn="tl" rotWithShape="0">
                  <a:schemeClr val="dk1">
                    <a:alpha val="40000"/>
                  </a:schemeClr>
                </a:outerShdw>
              </a:effectLst>
            </a:rPr>
            <a:t> AMOUNT</a:t>
          </a:r>
          <a:endParaRPr lang="en-US" sz="1600" b="1" cap="none" spc="0">
            <a:ln w="0"/>
            <a:solidFill>
              <a:srgbClr val="002060"/>
            </a:solidFill>
            <a:effectLst>
              <a:outerShdw blurRad="38100" dist="19050" dir="2700000" algn="tl" rotWithShape="0">
                <a:schemeClr val="dk1">
                  <a:alpha val="40000"/>
                </a:schemeClr>
              </a:outerShdw>
            </a:effectLst>
          </a:endParaRPr>
        </a:p>
      </xdr:txBody>
    </xdr:sp>
    <xdr:clientData/>
  </xdr:twoCellAnchor>
  <xdr:twoCellAnchor>
    <xdr:from>
      <xdr:col>11</xdr:col>
      <xdr:colOff>121920</xdr:colOff>
      <xdr:row>14</xdr:row>
      <xdr:rowOff>45720</xdr:rowOff>
    </xdr:from>
    <xdr:to>
      <xdr:col>13</xdr:col>
      <xdr:colOff>335280</xdr:colOff>
      <xdr:row>16</xdr:row>
      <xdr:rowOff>15240</xdr:rowOff>
    </xdr:to>
    <xdr:sp macro="" textlink="">
      <xdr:nvSpPr>
        <xdr:cNvPr id="28" name="Rectangle 27">
          <a:extLst>
            <a:ext uri="{FF2B5EF4-FFF2-40B4-BE49-F238E27FC236}">
              <a16:creationId xmlns:a16="http://schemas.microsoft.com/office/drawing/2014/main" id="{A35FAB97-6170-4FBD-BF13-96A99ADE5857}"/>
            </a:ext>
          </a:extLst>
        </xdr:cNvPr>
        <xdr:cNvSpPr/>
      </xdr:nvSpPr>
      <xdr:spPr>
        <a:xfrm>
          <a:off x="6827520" y="2606040"/>
          <a:ext cx="14325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cap="none" spc="0">
              <a:ln w="0"/>
              <a:solidFill>
                <a:srgbClr val="002060"/>
              </a:solidFill>
              <a:effectLst>
                <a:outerShdw blurRad="38100" dist="19050" dir="2700000" algn="tl" rotWithShape="0">
                  <a:schemeClr val="dk1">
                    <a:alpha val="40000"/>
                  </a:schemeClr>
                </a:outerShdw>
              </a:effectLst>
            </a:rPr>
            <a:t>TOTAL</a:t>
          </a:r>
          <a:r>
            <a:rPr lang="en-US" sz="1600" b="1" cap="none" spc="0" baseline="0">
              <a:ln w="0"/>
              <a:solidFill>
                <a:srgbClr val="002060"/>
              </a:solidFill>
              <a:effectLst>
                <a:outerShdw blurRad="38100" dist="19050" dir="2700000" algn="tl" rotWithShape="0">
                  <a:schemeClr val="dk1">
                    <a:alpha val="40000"/>
                  </a:schemeClr>
                </a:outerShdw>
              </a:effectLst>
            </a:rPr>
            <a:t> SALES</a:t>
          </a:r>
          <a:endParaRPr lang="en-US" sz="1600" b="1" cap="none" spc="0">
            <a:ln w="0"/>
            <a:solidFill>
              <a:srgbClr val="002060"/>
            </a:solidFill>
            <a:effectLst>
              <a:outerShdw blurRad="38100" dist="19050" dir="2700000" algn="tl" rotWithShape="0">
                <a:schemeClr val="dk1">
                  <a:alpha val="40000"/>
                </a:schemeClr>
              </a:outerShdw>
            </a:effectLst>
          </a:endParaRPr>
        </a:p>
      </xdr:txBody>
    </xdr:sp>
    <xdr:clientData/>
  </xdr:twoCellAnchor>
  <xdr:twoCellAnchor editAs="oneCell">
    <xdr:from>
      <xdr:col>9</xdr:col>
      <xdr:colOff>594360</xdr:colOff>
      <xdr:row>14</xdr:row>
      <xdr:rowOff>162877</xdr:rowOff>
    </xdr:from>
    <xdr:to>
      <xdr:col>10</xdr:col>
      <xdr:colOff>601980</xdr:colOff>
      <xdr:row>18</xdr:row>
      <xdr:rowOff>64008</xdr:rowOff>
    </xdr:to>
    <xdr:pic>
      <xdr:nvPicPr>
        <xdr:cNvPr id="30" name="Graphic 29" descr="Business Growth with solid fill">
          <a:extLst>
            <a:ext uri="{FF2B5EF4-FFF2-40B4-BE49-F238E27FC236}">
              <a16:creationId xmlns:a16="http://schemas.microsoft.com/office/drawing/2014/main" id="{2074E802-8CC9-AA8E-6510-03BCAE5E66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80760" y="2723197"/>
          <a:ext cx="617220" cy="632651"/>
        </a:xfrm>
        <a:prstGeom prst="rect">
          <a:avLst/>
        </a:prstGeom>
      </xdr:spPr>
    </xdr:pic>
    <xdr:clientData/>
  </xdr:twoCellAnchor>
  <xdr:twoCellAnchor editAs="oneCell">
    <xdr:from>
      <xdr:col>5</xdr:col>
      <xdr:colOff>137160</xdr:colOff>
      <xdr:row>14</xdr:row>
      <xdr:rowOff>180638</xdr:rowOff>
    </xdr:from>
    <xdr:to>
      <xdr:col>6</xdr:col>
      <xdr:colOff>104776</xdr:colOff>
      <xdr:row>17</xdr:row>
      <xdr:rowOff>175260</xdr:rowOff>
    </xdr:to>
    <xdr:pic>
      <xdr:nvPicPr>
        <xdr:cNvPr id="34" name="Picture 33">
          <a:extLst>
            <a:ext uri="{FF2B5EF4-FFF2-40B4-BE49-F238E27FC236}">
              <a16:creationId xmlns:a16="http://schemas.microsoft.com/office/drawing/2014/main" id="{260A34A5-0BE4-EFDD-75D3-EB28B80560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85160" y="2740958"/>
          <a:ext cx="577216" cy="543262"/>
        </a:xfrm>
        <a:prstGeom prst="rect">
          <a:avLst/>
        </a:prstGeom>
      </xdr:spPr>
    </xdr:pic>
    <xdr:clientData/>
  </xdr:twoCellAnchor>
  <xdr:twoCellAnchor>
    <xdr:from>
      <xdr:col>4</xdr:col>
      <xdr:colOff>396240</xdr:colOff>
      <xdr:row>18</xdr:row>
      <xdr:rowOff>167640</xdr:rowOff>
    </xdr:from>
    <xdr:to>
      <xdr:col>7</xdr:col>
      <xdr:colOff>0</xdr:colOff>
      <xdr:row>20</xdr:row>
      <xdr:rowOff>137160</xdr:rowOff>
    </xdr:to>
    <xdr:sp macro="" textlink="">
      <xdr:nvSpPr>
        <xdr:cNvPr id="35" name="Rectangle 34">
          <a:extLst>
            <a:ext uri="{FF2B5EF4-FFF2-40B4-BE49-F238E27FC236}">
              <a16:creationId xmlns:a16="http://schemas.microsoft.com/office/drawing/2014/main" id="{533824C3-C45A-4B9A-BAFD-A790E6861814}"/>
            </a:ext>
          </a:extLst>
        </xdr:cNvPr>
        <xdr:cNvSpPr/>
      </xdr:nvSpPr>
      <xdr:spPr>
        <a:xfrm>
          <a:off x="2834640" y="3459480"/>
          <a:ext cx="14325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487680</xdr:colOff>
      <xdr:row>11</xdr:row>
      <xdr:rowOff>167640</xdr:rowOff>
    </xdr:from>
    <xdr:to>
      <xdr:col>22</xdr:col>
      <xdr:colOff>396240</xdr:colOff>
      <xdr:row>20</xdr:row>
      <xdr:rowOff>114300</xdr:rowOff>
    </xdr:to>
    <xdr:graphicFrame macro="">
      <xdr:nvGraphicFramePr>
        <xdr:cNvPr id="42" name="Chart 41">
          <a:extLst>
            <a:ext uri="{FF2B5EF4-FFF2-40B4-BE49-F238E27FC236}">
              <a16:creationId xmlns:a16="http://schemas.microsoft.com/office/drawing/2014/main" id="{9B183133-67F4-401C-A21F-672425077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449580</xdr:colOff>
      <xdr:row>11</xdr:row>
      <xdr:rowOff>30480</xdr:rowOff>
    </xdr:from>
    <xdr:to>
      <xdr:col>17</xdr:col>
      <xdr:colOff>281940</xdr:colOff>
      <xdr:row>13</xdr:row>
      <xdr:rowOff>0</xdr:rowOff>
    </xdr:to>
    <xdr:sp macro="" textlink="">
      <xdr:nvSpPr>
        <xdr:cNvPr id="36" name="Rectangle 35">
          <a:extLst>
            <a:ext uri="{FF2B5EF4-FFF2-40B4-BE49-F238E27FC236}">
              <a16:creationId xmlns:a16="http://schemas.microsoft.com/office/drawing/2014/main" id="{29ED1D3C-1022-6C26-86B2-63E89CBB26AE}"/>
            </a:ext>
          </a:extLst>
        </xdr:cNvPr>
        <xdr:cNvSpPr/>
      </xdr:nvSpPr>
      <xdr:spPr>
        <a:xfrm>
          <a:off x="8983980" y="2042160"/>
          <a:ext cx="16611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SALES BY MONTHS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495300</xdr:colOff>
      <xdr:row>20</xdr:row>
      <xdr:rowOff>167640</xdr:rowOff>
    </xdr:from>
    <xdr:to>
      <xdr:col>22</xdr:col>
      <xdr:colOff>388620</xdr:colOff>
      <xdr:row>30</xdr:row>
      <xdr:rowOff>160020</xdr:rowOff>
    </xdr:to>
    <xdr:graphicFrame macro="">
      <xdr:nvGraphicFramePr>
        <xdr:cNvPr id="43" name="Chart 42">
          <a:extLst>
            <a:ext uri="{FF2B5EF4-FFF2-40B4-BE49-F238E27FC236}">
              <a16:creationId xmlns:a16="http://schemas.microsoft.com/office/drawing/2014/main" id="{AB66A6A0-710A-4191-B9A7-91539D22C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502920</xdr:colOff>
      <xdr:row>20</xdr:row>
      <xdr:rowOff>167640</xdr:rowOff>
    </xdr:from>
    <xdr:to>
      <xdr:col>16</xdr:col>
      <xdr:colOff>243840</xdr:colOff>
      <xdr:row>22</xdr:row>
      <xdr:rowOff>137160</xdr:rowOff>
    </xdr:to>
    <xdr:sp macro="" textlink="">
      <xdr:nvSpPr>
        <xdr:cNvPr id="37" name="Rectangle 36">
          <a:extLst>
            <a:ext uri="{FF2B5EF4-FFF2-40B4-BE49-F238E27FC236}">
              <a16:creationId xmlns:a16="http://schemas.microsoft.com/office/drawing/2014/main" id="{6DB33CA4-0A62-E979-BEB9-3984F031C3FA}"/>
            </a:ext>
          </a:extLst>
        </xdr:cNvPr>
        <xdr:cNvSpPr/>
      </xdr:nvSpPr>
      <xdr:spPr>
        <a:xfrm>
          <a:off x="8427720" y="3825240"/>
          <a:ext cx="156972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w="0"/>
              <a:solidFill>
                <a:schemeClr val="tx1"/>
              </a:solidFill>
              <a:effectLst>
                <a:outerShdw blurRad="38100" dist="19050" dir="2700000" algn="tl" rotWithShape="0">
                  <a:schemeClr val="dk1">
                    <a:alpha val="40000"/>
                  </a:schemeClr>
                </a:outerShdw>
              </a:effectLst>
            </a:rPr>
            <a:t>SALES</a:t>
          </a:r>
          <a:r>
            <a:rPr lang="en-US" sz="1400" b="1" cap="none" spc="0" baseline="0">
              <a:ln w="0"/>
              <a:solidFill>
                <a:schemeClr val="tx1"/>
              </a:solidFill>
              <a:effectLst>
                <a:outerShdw blurRad="38100" dist="19050" dir="2700000" algn="tl" rotWithShape="0">
                  <a:schemeClr val="dk1">
                    <a:alpha val="40000"/>
                  </a:schemeClr>
                </a:outerShdw>
              </a:effectLst>
            </a:rPr>
            <a:t> BY PLACES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406978</xdr:colOff>
      <xdr:row>19</xdr:row>
      <xdr:rowOff>8659</xdr:rowOff>
    </xdr:from>
    <xdr:to>
      <xdr:col>13</xdr:col>
      <xdr:colOff>274320</xdr:colOff>
      <xdr:row>30</xdr:row>
      <xdr:rowOff>91440</xdr:rowOff>
    </xdr:to>
    <xdr:graphicFrame macro="">
      <xdr:nvGraphicFramePr>
        <xdr:cNvPr id="44" name="Chart 43">
          <a:extLst>
            <a:ext uri="{FF2B5EF4-FFF2-40B4-BE49-F238E27FC236}">
              <a16:creationId xmlns:a16="http://schemas.microsoft.com/office/drawing/2014/main" id="{4C1FD1A6-C039-424C-831D-4B9DAED37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472440</xdr:colOff>
      <xdr:row>18</xdr:row>
      <xdr:rowOff>137160</xdr:rowOff>
    </xdr:from>
    <xdr:to>
      <xdr:col>8</xdr:col>
      <xdr:colOff>548640</xdr:colOff>
      <xdr:row>20</xdr:row>
      <xdr:rowOff>106680</xdr:rowOff>
    </xdr:to>
    <xdr:sp macro="" textlink="">
      <xdr:nvSpPr>
        <xdr:cNvPr id="38" name="Rectangle 37">
          <a:extLst>
            <a:ext uri="{FF2B5EF4-FFF2-40B4-BE49-F238E27FC236}">
              <a16:creationId xmlns:a16="http://schemas.microsoft.com/office/drawing/2014/main" id="{CA10D95C-D6C8-8C32-CB35-67DADFA21D80}"/>
            </a:ext>
          </a:extLst>
        </xdr:cNvPr>
        <xdr:cNvSpPr/>
      </xdr:nvSpPr>
      <xdr:spPr>
        <a:xfrm>
          <a:off x="3520440" y="3429000"/>
          <a:ext cx="190500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SALES OF PRODUCTS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189653</xdr:colOff>
      <xdr:row>15</xdr:row>
      <xdr:rowOff>181187</xdr:rowOff>
    </xdr:from>
    <xdr:to>
      <xdr:col>13</xdr:col>
      <xdr:colOff>403013</xdr:colOff>
      <xdr:row>17</xdr:row>
      <xdr:rowOff>150708</xdr:rowOff>
    </xdr:to>
    <xdr:sp macro="" textlink="'pivot tables'!C42">
      <xdr:nvSpPr>
        <xdr:cNvPr id="49" name="Rectangle 48">
          <a:extLst>
            <a:ext uri="{FF2B5EF4-FFF2-40B4-BE49-F238E27FC236}">
              <a16:creationId xmlns:a16="http://schemas.microsoft.com/office/drawing/2014/main" id="{E274D7B4-B8C1-C04D-977D-7E455E4EC760}"/>
            </a:ext>
          </a:extLst>
        </xdr:cNvPr>
        <xdr:cNvSpPr/>
      </xdr:nvSpPr>
      <xdr:spPr>
        <a:xfrm>
          <a:off x="6895253" y="2975187"/>
          <a:ext cx="1432560" cy="3420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B723C41-94B9-4BA5-8F2C-D0284FBBAF2D}"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rPr>
            <a:pPr algn="l"/>
            <a:t>278</a:t>
          </a:fld>
          <a:endParaRPr lang="en-US" sz="3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158327</xdr:colOff>
      <xdr:row>15</xdr:row>
      <xdr:rowOff>157479</xdr:rowOff>
    </xdr:from>
    <xdr:to>
      <xdr:col>9</xdr:col>
      <xdr:colOff>120227</xdr:colOff>
      <xdr:row>18</xdr:row>
      <xdr:rowOff>24553</xdr:rowOff>
    </xdr:to>
    <xdr:sp macro="" textlink="'pivot tables'!C39">
      <xdr:nvSpPr>
        <xdr:cNvPr id="57" name="Rectangle 56">
          <a:extLst>
            <a:ext uri="{FF2B5EF4-FFF2-40B4-BE49-F238E27FC236}">
              <a16:creationId xmlns:a16="http://schemas.microsoft.com/office/drawing/2014/main" id="{2D41087B-3CDD-C1EB-B4F6-735E470754DA}"/>
            </a:ext>
          </a:extLst>
        </xdr:cNvPr>
        <xdr:cNvSpPr/>
      </xdr:nvSpPr>
      <xdr:spPr>
        <a:xfrm>
          <a:off x="3815927" y="2951479"/>
          <a:ext cx="1790700" cy="4258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B3B2672-659C-4A86-9515-69B674FB63E8}"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Aptos Narrow"/>
            </a:rPr>
            <a:pPr algn="l"/>
            <a:t> 118,731,893 </a:t>
          </a:fld>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22</xdr:col>
      <xdr:colOff>586740</xdr:colOff>
      <xdr:row>31</xdr:row>
      <xdr:rowOff>68580</xdr:rowOff>
    </xdr:to>
    <xdr:sp macro="" textlink="">
      <xdr:nvSpPr>
        <xdr:cNvPr id="2" name="Rectangle: Rounded Corners 1">
          <a:extLst>
            <a:ext uri="{FF2B5EF4-FFF2-40B4-BE49-F238E27FC236}">
              <a16:creationId xmlns:a16="http://schemas.microsoft.com/office/drawing/2014/main" id="{B3B14806-E427-4B87-8081-E20EA6BA011E}"/>
            </a:ext>
          </a:extLst>
        </xdr:cNvPr>
        <xdr:cNvSpPr/>
      </xdr:nvSpPr>
      <xdr:spPr>
        <a:xfrm>
          <a:off x="129540" y="53340"/>
          <a:ext cx="13868400" cy="5684520"/>
        </a:xfrm>
        <a:prstGeom prst="roundRect">
          <a:avLst>
            <a:gd name="adj" fmla="val 37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0</xdr:row>
      <xdr:rowOff>83820</xdr:rowOff>
    </xdr:from>
    <xdr:to>
      <xdr:col>22</xdr:col>
      <xdr:colOff>541020</xdr:colOff>
      <xdr:row>31</xdr:row>
      <xdr:rowOff>15240</xdr:rowOff>
    </xdr:to>
    <xdr:sp macro="" textlink="">
      <xdr:nvSpPr>
        <xdr:cNvPr id="3" name="Rectangle: Rounded Corners 2">
          <a:extLst>
            <a:ext uri="{FF2B5EF4-FFF2-40B4-BE49-F238E27FC236}">
              <a16:creationId xmlns:a16="http://schemas.microsoft.com/office/drawing/2014/main" id="{69D5633D-DE8A-4D69-BB7C-F5784FD20FAA}"/>
            </a:ext>
          </a:extLst>
        </xdr:cNvPr>
        <xdr:cNvSpPr/>
      </xdr:nvSpPr>
      <xdr:spPr>
        <a:xfrm>
          <a:off x="2743200" y="83820"/>
          <a:ext cx="11209020" cy="5705687"/>
        </a:xfrm>
        <a:prstGeom prst="roundRect">
          <a:avLst>
            <a:gd name="adj" fmla="val 379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411480</xdr:colOff>
      <xdr:row>0</xdr:row>
      <xdr:rowOff>129540</xdr:rowOff>
    </xdr:from>
    <xdr:to>
      <xdr:col>14</xdr:col>
      <xdr:colOff>190500</xdr:colOff>
      <xdr:row>7</xdr:row>
      <xdr:rowOff>15240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D7D3084A-CB44-4CE8-ABA4-B25E4BA04F4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849880" y="129540"/>
              <a:ext cx="5875020" cy="1189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251460</xdr:colOff>
      <xdr:row>0</xdr:row>
      <xdr:rowOff>121920</xdr:rowOff>
    </xdr:from>
    <xdr:to>
      <xdr:col>22</xdr:col>
      <xdr:colOff>403860</xdr:colOff>
      <xdr:row>7</xdr:row>
      <xdr:rowOff>38100</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A6670E8D-7746-4136-A40C-11F912FB09B4}"/>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8785860" y="121920"/>
              <a:ext cx="5029200" cy="122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7</xdr:row>
      <xdr:rowOff>76200</xdr:rowOff>
    </xdr:from>
    <xdr:to>
      <xdr:col>22</xdr:col>
      <xdr:colOff>411480</xdr:colOff>
      <xdr:row>10</xdr:row>
      <xdr:rowOff>167640</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8C256DFF-E216-474C-86AB-ADF46639292A}"/>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872740" y="1380067"/>
              <a:ext cx="10949940" cy="65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10</xdr:row>
      <xdr:rowOff>129540</xdr:rowOff>
    </xdr:from>
    <xdr:to>
      <xdr:col>5</xdr:col>
      <xdr:colOff>396240</xdr:colOff>
      <xdr:row>14</xdr:row>
      <xdr:rowOff>60960</xdr:rowOff>
    </xdr:to>
    <xdr:pic>
      <xdr:nvPicPr>
        <xdr:cNvPr id="7" name="Graphic 6" descr="Bar chart with solid fill">
          <a:extLst>
            <a:ext uri="{FF2B5EF4-FFF2-40B4-BE49-F238E27FC236}">
              <a16:creationId xmlns:a16="http://schemas.microsoft.com/office/drawing/2014/main" id="{758DE6D6-B078-4EBA-AAB4-2209F308AF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1300" y="1958340"/>
          <a:ext cx="662940" cy="662940"/>
        </a:xfrm>
        <a:prstGeom prst="rect">
          <a:avLst/>
        </a:prstGeom>
      </xdr:spPr>
    </xdr:pic>
    <xdr:clientData/>
  </xdr:twoCellAnchor>
  <xdr:twoCellAnchor>
    <xdr:from>
      <xdr:col>5</xdr:col>
      <xdr:colOff>274320</xdr:colOff>
      <xdr:row>11</xdr:row>
      <xdr:rowOff>152400</xdr:rowOff>
    </xdr:from>
    <xdr:to>
      <xdr:col>8</xdr:col>
      <xdr:colOff>556260</xdr:colOff>
      <xdr:row>14</xdr:row>
      <xdr:rowOff>106680</xdr:rowOff>
    </xdr:to>
    <xdr:sp macro="" textlink="">
      <xdr:nvSpPr>
        <xdr:cNvPr id="8" name="Rectangle 7">
          <a:extLst>
            <a:ext uri="{FF2B5EF4-FFF2-40B4-BE49-F238E27FC236}">
              <a16:creationId xmlns:a16="http://schemas.microsoft.com/office/drawing/2014/main" id="{F1B30829-C86A-40AE-91C5-1E2EAE3A74D8}"/>
            </a:ext>
          </a:extLst>
        </xdr:cNvPr>
        <xdr:cNvSpPr/>
      </xdr:nvSpPr>
      <xdr:spPr>
        <a:xfrm>
          <a:off x="3322320" y="2164080"/>
          <a:ext cx="211074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cap="none" spc="0">
              <a:ln w="0"/>
              <a:solidFill>
                <a:schemeClr val="tx2">
                  <a:lumMod val="90000"/>
                  <a:lumOff val="10000"/>
                </a:schemeClr>
              </a:solidFill>
              <a:effectLst>
                <a:outerShdw blurRad="38100" dist="19050" dir="2700000" algn="tl" rotWithShape="0">
                  <a:schemeClr val="dk1">
                    <a:alpha val="40000"/>
                  </a:schemeClr>
                </a:outerShdw>
              </a:effectLst>
            </a:rPr>
            <a:t>ANALYTICS</a:t>
          </a:r>
        </a:p>
      </xdr:txBody>
    </xdr:sp>
    <xdr:clientData/>
  </xdr:twoCellAnchor>
  <xdr:twoCellAnchor>
    <xdr:from>
      <xdr:col>4</xdr:col>
      <xdr:colOff>396240</xdr:colOff>
      <xdr:row>14</xdr:row>
      <xdr:rowOff>16934</xdr:rowOff>
    </xdr:from>
    <xdr:to>
      <xdr:col>13</xdr:col>
      <xdr:colOff>304800</xdr:colOff>
      <xdr:row>30</xdr:row>
      <xdr:rowOff>114300</xdr:rowOff>
    </xdr:to>
    <xdr:sp macro="" textlink="">
      <xdr:nvSpPr>
        <xdr:cNvPr id="13" name="Rectangle 12">
          <a:extLst>
            <a:ext uri="{FF2B5EF4-FFF2-40B4-BE49-F238E27FC236}">
              <a16:creationId xmlns:a16="http://schemas.microsoft.com/office/drawing/2014/main" id="{ABBEB240-3354-4DD2-89E7-60E155A9F507}"/>
            </a:ext>
          </a:extLst>
        </xdr:cNvPr>
        <xdr:cNvSpPr/>
      </xdr:nvSpPr>
      <xdr:spPr>
        <a:xfrm>
          <a:off x="2834640" y="2624667"/>
          <a:ext cx="5394960" cy="30776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487680</xdr:colOff>
      <xdr:row>11</xdr:row>
      <xdr:rowOff>22860</xdr:rowOff>
    </xdr:from>
    <xdr:to>
      <xdr:col>22</xdr:col>
      <xdr:colOff>396240</xdr:colOff>
      <xdr:row>20</xdr:row>
      <xdr:rowOff>106680</xdr:rowOff>
    </xdr:to>
    <xdr:sp macro="" textlink="">
      <xdr:nvSpPr>
        <xdr:cNvPr id="14" name="Rectangle 13">
          <a:extLst>
            <a:ext uri="{FF2B5EF4-FFF2-40B4-BE49-F238E27FC236}">
              <a16:creationId xmlns:a16="http://schemas.microsoft.com/office/drawing/2014/main" id="{A333F214-AA8D-4E1B-BBCB-B81FA72474A4}"/>
            </a:ext>
          </a:extLst>
        </xdr:cNvPr>
        <xdr:cNvSpPr/>
      </xdr:nvSpPr>
      <xdr:spPr>
        <a:xfrm>
          <a:off x="8412480" y="2034540"/>
          <a:ext cx="5394960" cy="17297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495300</xdr:colOff>
      <xdr:row>20</xdr:row>
      <xdr:rowOff>160020</xdr:rowOff>
    </xdr:from>
    <xdr:to>
      <xdr:col>22</xdr:col>
      <xdr:colOff>403860</xdr:colOff>
      <xdr:row>30</xdr:row>
      <xdr:rowOff>129540</xdr:rowOff>
    </xdr:to>
    <xdr:sp macro="" textlink="">
      <xdr:nvSpPr>
        <xdr:cNvPr id="15" name="Rectangle 14">
          <a:extLst>
            <a:ext uri="{FF2B5EF4-FFF2-40B4-BE49-F238E27FC236}">
              <a16:creationId xmlns:a16="http://schemas.microsoft.com/office/drawing/2014/main" id="{621CF6FA-FF06-4808-9D27-71F064E803F1}"/>
            </a:ext>
          </a:extLst>
        </xdr:cNvPr>
        <xdr:cNvSpPr/>
      </xdr:nvSpPr>
      <xdr:spPr>
        <a:xfrm>
          <a:off x="8420100" y="3885353"/>
          <a:ext cx="5394960" cy="18321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7</xdr:row>
      <xdr:rowOff>30480</xdr:rowOff>
    </xdr:from>
    <xdr:to>
      <xdr:col>4</xdr:col>
      <xdr:colOff>198120</xdr:colOff>
      <xdr:row>10</xdr:row>
      <xdr:rowOff>106680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D9E3EB52-FD18-4C56-800E-07FF992037B7}"/>
            </a:ext>
          </a:extLst>
        </xdr:cNvPr>
        <xdr:cNvSpPr/>
      </xdr:nvSpPr>
      <xdr:spPr>
        <a:xfrm>
          <a:off x="243840" y="1310640"/>
          <a:ext cx="2392680" cy="6248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DASH BOARD</a:t>
          </a:r>
        </a:p>
      </xdr:txBody>
    </xdr:sp>
    <xdr:clientData/>
  </xdr:twoCellAnchor>
  <xdr:twoCellAnchor>
    <xdr:from>
      <xdr:col>0</xdr:col>
      <xdr:colOff>243840</xdr:colOff>
      <xdr:row>19</xdr:row>
      <xdr:rowOff>114300</xdr:rowOff>
    </xdr:from>
    <xdr:to>
      <xdr:col>4</xdr:col>
      <xdr:colOff>198120</xdr:colOff>
      <xdr:row>23</xdr:row>
      <xdr:rowOff>7620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C8A5FD72-E834-41F7-B4BD-A964F0BE96FE}"/>
            </a:ext>
          </a:extLst>
        </xdr:cNvPr>
        <xdr:cNvSpPr/>
      </xdr:nvSpPr>
      <xdr:spPr>
        <a:xfrm>
          <a:off x="243840" y="3589020"/>
          <a:ext cx="2392680" cy="6248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twoCellAnchor>
    <xdr:from>
      <xdr:col>0</xdr:col>
      <xdr:colOff>243840</xdr:colOff>
      <xdr:row>11</xdr:row>
      <xdr:rowOff>53340</xdr:rowOff>
    </xdr:from>
    <xdr:to>
      <xdr:col>4</xdr:col>
      <xdr:colOff>198120</xdr:colOff>
      <xdr:row>14</xdr:row>
      <xdr:rowOff>129540</xdr:rowOff>
    </xdr:to>
    <xdr:sp macro="" textlink="">
      <xdr:nvSpPr>
        <xdr:cNvPr id="18" name="Rectangle: Rounded Corners 17">
          <a:extLst>
            <a:ext uri="{FF2B5EF4-FFF2-40B4-BE49-F238E27FC236}">
              <a16:creationId xmlns:a16="http://schemas.microsoft.com/office/drawing/2014/main" id="{99FBAFEA-2B4F-49FE-B5B1-3382ADCCBDBE}"/>
            </a:ext>
          </a:extLst>
        </xdr:cNvPr>
        <xdr:cNvSpPr/>
      </xdr:nvSpPr>
      <xdr:spPr>
        <a:xfrm>
          <a:off x="243840" y="2065020"/>
          <a:ext cx="2392680" cy="62484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PRODUCTS</a:t>
          </a:r>
        </a:p>
      </xdr:txBody>
    </xdr:sp>
    <xdr:clientData/>
  </xdr:twoCellAnchor>
  <xdr:twoCellAnchor>
    <xdr:from>
      <xdr:col>0</xdr:col>
      <xdr:colOff>236220</xdr:colOff>
      <xdr:row>15</xdr:row>
      <xdr:rowOff>83820</xdr:rowOff>
    </xdr:from>
    <xdr:to>
      <xdr:col>4</xdr:col>
      <xdr:colOff>190500</xdr:colOff>
      <xdr:row>18</xdr:row>
      <xdr:rowOff>160020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760F904F-39C5-486D-B6FB-43B8F0051BE9}"/>
            </a:ext>
          </a:extLst>
        </xdr:cNvPr>
        <xdr:cNvSpPr/>
      </xdr:nvSpPr>
      <xdr:spPr>
        <a:xfrm>
          <a:off x="236220" y="2827020"/>
          <a:ext cx="2392680" cy="6248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 MANS</a:t>
          </a:r>
        </a:p>
      </xdr:txBody>
    </xdr:sp>
    <xdr:clientData/>
  </xdr:twoCellAnchor>
  <xdr:twoCellAnchor>
    <xdr:from>
      <xdr:col>4</xdr:col>
      <xdr:colOff>396240</xdr:colOff>
      <xdr:row>18</xdr:row>
      <xdr:rowOff>167640</xdr:rowOff>
    </xdr:from>
    <xdr:to>
      <xdr:col>7</xdr:col>
      <xdr:colOff>0</xdr:colOff>
      <xdr:row>20</xdr:row>
      <xdr:rowOff>137160</xdr:rowOff>
    </xdr:to>
    <xdr:sp macro="" textlink="">
      <xdr:nvSpPr>
        <xdr:cNvPr id="24" name="Rectangle 23">
          <a:extLst>
            <a:ext uri="{FF2B5EF4-FFF2-40B4-BE49-F238E27FC236}">
              <a16:creationId xmlns:a16="http://schemas.microsoft.com/office/drawing/2014/main" id="{49DBE81F-1714-4C4D-834C-D084313FA8BD}"/>
            </a:ext>
          </a:extLst>
        </xdr:cNvPr>
        <xdr:cNvSpPr/>
      </xdr:nvSpPr>
      <xdr:spPr>
        <a:xfrm>
          <a:off x="2834640" y="3459480"/>
          <a:ext cx="14325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524932</xdr:colOff>
      <xdr:row>20</xdr:row>
      <xdr:rowOff>177800</xdr:rowOff>
    </xdr:from>
    <xdr:to>
      <xdr:col>22</xdr:col>
      <xdr:colOff>381001</xdr:colOff>
      <xdr:row>30</xdr:row>
      <xdr:rowOff>118532</xdr:rowOff>
    </xdr:to>
    <xdr:graphicFrame macro="">
      <xdr:nvGraphicFramePr>
        <xdr:cNvPr id="33" name="Chart 32">
          <a:extLst>
            <a:ext uri="{FF2B5EF4-FFF2-40B4-BE49-F238E27FC236}">
              <a16:creationId xmlns:a16="http://schemas.microsoft.com/office/drawing/2014/main" id="{B78BAC35-EF98-4325-88E9-E612D482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536787</xdr:colOff>
      <xdr:row>21</xdr:row>
      <xdr:rowOff>15240</xdr:rowOff>
    </xdr:from>
    <xdr:to>
      <xdr:col>18</xdr:col>
      <xdr:colOff>59267</xdr:colOff>
      <xdr:row>22</xdr:row>
      <xdr:rowOff>171027</xdr:rowOff>
    </xdr:to>
    <xdr:sp macro="" textlink="">
      <xdr:nvSpPr>
        <xdr:cNvPr id="28" name="Rectangle 27">
          <a:extLst>
            <a:ext uri="{FF2B5EF4-FFF2-40B4-BE49-F238E27FC236}">
              <a16:creationId xmlns:a16="http://schemas.microsoft.com/office/drawing/2014/main" id="{52F2996B-BFE6-4693-B107-C2DAF9D94470}"/>
            </a:ext>
          </a:extLst>
        </xdr:cNvPr>
        <xdr:cNvSpPr/>
      </xdr:nvSpPr>
      <xdr:spPr>
        <a:xfrm>
          <a:off x="8461587" y="3926840"/>
          <a:ext cx="2570480" cy="3420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w="0"/>
              <a:solidFill>
                <a:schemeClr val="tx1"/>
              </a:solidFill>
              <a:effectLst>
                <a:outerShdw blurRad="38100" dist="19050" dir="2700000" algn="tl" rotWithShape="0">
                  <a:schemeClr val="dk1">
                    <a:alpha val="40000"/>
                  </a:schemeClr>
                </a:outerShdw>
              </a:effectLst>
            </a:rPr>
            <a:t>BOTTOM 3 SELLING PRODUCTS</a:t>
          </a:r>
        </a:p>
      </xdr:txBody>
    </xdr:sp>
    <xdr:clientData/>
  </xdr:twoCellAnchor>
  <xdr:twoCellAnchor>
    <xdr:from>
      <xdr:col>13</xdr:col>
      <xdr:colOff>524933</xdr:colOff>
      <xdr:row>11</xdr:row>
      <xdr:rowOff>50800</xdr:rowOff>
    </xdr:from>
    <xdr:to>
      <xdr:col>22</xdr:col>
      <xdr:colOff>364065</xdr:colOff>
      <xdr:row>20</xdr:row>
      <xdr:rowOff>101600</xdr:rowOff>
    </xdr:to>
    <xdr:graphicFrame macro="">
      <xdr:nvGraphicFramePr>
        <xdr:cNvPr id="34" name="Chart 33">
          <a:extLst>
            <a:ext uri="{FF2B5EF4-FFF2-40B4-BE49-F238E27FC236}">
              <a16:creationId xmlns:a16="http://schemas.microsoft.com/office/drawing/2014/main" id="{840D2C3A-6680-48AD-B4C9-AB861B770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593513</xdr:colOff>
      <xdr:row>11</xdr:row>
      <xdr:rowOff>55880</xdr:rowOff>
    </xdr:from>
    <xdr:to>
      <xdr:col>17</xdr:col>
      <xdr:colOff>482601</xdr:colOff>
      <xdr:row>13</xdr:row>
      <xdr:rowOff>25400</xdr:rowOff>
    </xdr:to>
    <xdr:sp macro="" textlink="">
      <xdr:nvSpPr>
        <xdr:cNvPr id="26" name="Rectangle 25">
          <a:extLst>
            <a:ext uri="{FF2B5EF4-FFF2-40B4-BE49-F238E27FC236}">
              <a16:creationId xmlns:a16="http://schemas.microsoft.com/office/drawing/2014/main" id="{517693C3-F976-4A5B-8A89-AB0A1255D815}"/>
            </a:ext>
          </a:extLst>
        </xdr:cNvPr>
        <xdr:cNvSpPr/>
      </xdr:nvSpPr>
      <xdr:spPr>
        <a:xfrm>
          <a:off x="8518313" y="2104813"/>
          <a:ext cx="2327488" cy="3420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TOP 3 SELLING PRODUCTS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400473</xdr:colOff>
      <xdr:row>14</xdr:row>
      <xdr:rowOff>143934</xdr:rowOff>
    </xdr:from>
    <xdr:to>
      <xdr:col>13</xdr:col>
      <xdr:colOff>321733</xdr:colOff>
      <xdr:row>30</xdr:row>
      <xdr:rowOff>103293</xdr:rowOff>
    </xdr:to>
    <xdr:graphicFrame macro="">
      <xdr:nvGraphicFramePr>
        <xdr:cNvPr id="35" name="Chart 34">
          <a:extLst>
            <a:ext uri="{FF2B5EF4-FFF2-40B4-BE49-F238E27FC236}">
              <a16:creationId xmlns:a16="http://schemas.microsoft.com/office/drawing/2014/main" id="{0DA6382D-5B65-4807-A6FA-11F30CCB7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455507</xdr:colOff>
      <xdr:row>14</xdr:row>
      <xdr:rowOff>69427</xdr:rowOff>
    </xdr:from>
    <xdr:to>
      <xdr:col>9</xdr:col>
      <xdr:colOff>169333</xdr:colOff>
      <xdr:row>16</xdr:row>
      <xdr:rowOff>38946</xdr:rowOff>
    </xdr:to>
    <xdr:sp macro="" textlink="">
      <xdr:nvSpPr>
        <xdr:cNvPr id="30" name="Rectangle 29">
          <a:extLst>
            <a:ext uri="{FF2B5EF4-FFF2-40B4-BE49-F238E27FC236}">
              <a16:creationId xmlns:a16="http://schemas.microsoft.com/office/drawing/2014/main" id="{741939CE-2B4D-47F8-8BE1-413110CC7998}"/>
            </a:ext>
          </a:extLst>
        </xdr:cNvPr>
        <xdr:cNvSpPr/>
      </xdr:nvSpPr>
      <xdr:spPr>
        <a:xfrm>
          <a:off x="2893907" y="2677160"/>
          <a:ext cx="2761826" cy="3420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SALES OF PRODUCTS BY QUANTITY</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22</xdr:col>
      <xdr:colOff>586740</xdr:colOff>
      <xdr:row>31</xdr:row>
      <xdr:rowOff>68580</xdr:rowOff>
    </xdr:to>
    <xdr:sp macro="" textlink="">
      <xdr:nvSpPr>
        <xdr:cNvPr id="2" name="Rectangle: Rounded Corners 1">
          <a:extLst>
            <a:ext uri="{FF2B5EF4-FFF2-40B4-BE49-F238E27FC236}">
              <a16:creationId xmlns:a16="http://schemas.microsoft.com/office/drawing/2014/main" id="{5DA51706-381B-4B95-B098-C0B03C13D912}"/>
            </a:ext>
          </a:extLst>
        </xdr:cNvPr>
        <xdr:cNvSpPr/>
      </xdr:nvSpPr>
      <xdr:spPr>
        <a:xfrm>
          <a:off x="129540" y="53340"/>
          <a:ext cx="13868400" cy="5684520"/>
        </a:xfrm>
        <a:prstGeom prst="roundRect">
          <a:avLst>
            <a:gd name="adj" fmla="val 37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0</xdr:row>
      <xdr:rowOff>83820</xdr:rowOff>
    </xdr:from>
    <xdr:to>
      <xdr:col>22</xdr:col>
      <xdr:colOff>541020</xdr:colOff>
      <xdr:row>31</xdr:row>
      <xdr:rowOff>15240</xdr:rowOff>
    </xdr:to>
    <xdr:sp macro="" textlink="">
      <xdr:nvSpPr>
        <xdr:cNvPr id="3" name="Rectangle: Rounded Corners 2">
          <a:extLst>
            <a:ext uri="{FF2B5EF4-FFF2-40B4-BE49-F238E27FC236}">
              <a16:creationId xmlns:a16="http://schemas.microsoft.com/office/drawing/2014/main" id="{771B1F7E-921B-46B4-9D18-654538FF5CAD}"/>
            </a:ext>
          </a:extLst>
        </xdr:cNvPr>
        <xdr:cNvSpPr/>
      </xdr:nvSpPr>
      <xdr:spPr>
        <a:xfrm>
          <a:off x="2743200" y="83820"/>
          <a:ext cx="11209020" cy="5600700"/>
        </a:xfrm>
        <a:prstGeom prst="roundRect">
          <a:avLst>
            <a:gd name="adj" fmla="val 379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411480</xdr:colOff>
      <xdr:row>0</xdr:row>
      <xdr:rowOff>129540</xdr:rowOff>
    </xdr:from>
    <xdr:to>
      <xdr:col>14</xdr:col>
      <xdr:colOff>190500</xdr:colOff>
      <xdr:row>7</xdr:row>
      <xdr:rowOff>15240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87CD0E03-8EFB-4402-8C8F-32598E88E17C}"/>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849880" y="129540"/>
              <a:ext cx="5875020" cy="1189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251460</xdr:colOff>
      <xdr:row>0</xdr:row>
      <xdr:rowOff>121920</xdr:rowOff>
    </xdr:from>
    <xdr:to>
      <xdr:col>22</xdr:col>
      <xdr:colOff>403860</xdr:colOff>
      <xdr:row>7</xdr:row>
      <xdr:rowOff>38100</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290610C4-C42F-4EC5-814D-79E0CC3A2EF6}"/>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8785860" y="121920"/>
              <a:ext cx="5029200" cy="122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7</xdr:row>
      <xdr:rowOff>76200</xdr:rowOff>
    </xdr:from>
    <xdr:to>
      <xdr:col>22</xdr:col>
      <xdr:colOff>411480</xdr:colOff>
      <xdr:row>10</xdr:row>
      <xdr:rowOff>167640</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ABC783E3-ED08-41E6-8D16-5B12A9A19E1D}"/>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872740" y="1380067"/>
              <a:ext cx="10949940" cy="65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10</xdr:row>
      <xdr:rowOff>129540</xdr:rowOff>
    </xdr:from>
    <xdr:to>
      <xdr:col>5</xdr:col>
      <xdr:colOff>396240</xdr:colOff>
      <xdr:row>14</xdr:row>
      <xdr:rowOff>60960</xdr:rowOff>
    </xdr:to>
    <xdr:pic>
      <xdr:nvPicPr>
        <xdr:cNvPr id="7" name="Graphic 6" descr="Bar chart with solid fill">
          <a:extLst>
            <a:ext uri="{FF2B5EF4-FFF2-40B4-BE49-F238E27FC236}">
              <a16:creationId xmlns:a16="http://schemas.microsoft.com/office/drawing/2014/main" id="{B6B155A0-3571-4B4A-A42C-1BE0A2F1E5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1300" y="1958340"/>
          <a:ext cx="662940" cy="662940"/>
        </a:xfrm>
        <a:prstGeom prst="rect">
          <a:avLst/>
        </a:prstGeom>
      </xdr:spPr>
    </xdr:pic>
    <xdr:clientData/>
  </xdr:twoCellAnchor>
  <xdr:twoCellAnchor>
    <xdr:from>
      <xdr:col>5</xdr:col>
      <xdr:colOff>274320</xdr:colOff>
      <xdr:row>11</xdr:row>
      <xdr:rowOff>152400</xdr:rowOff>
    </xdr:from>
    <xdr:to>
      <xdr:col>8</xdr:col>
      <xdr:colOff>556260</xdr:colOff>
      <xdr:row>14</xdr:row>
      <xdr:rowOff>106680</xdr:rowOff>
    </xdr:to>
    <xdr:sp macro="" textlink="">
      <xdr:nvSpPr>
        <xdr:cNvPr id="8" name="Rectangle 7">
          <a:extLst>
            <a:ext uri="{FF2B5EF4-FFF2-40B4-BE49-F238E27FC236}">
              <a16:creationId xmlns:a16="http://schemas.microsoft.com/office/drawing/2014/main" id="{B2303066-F5BE-47A3-B9CE-9FCFF7BDD28E}"/>
            </a:ext>
          </a:extLst>
        </xdr:cNvPr>
        <xdr:cNvSpPr/>
      </xdr:nvSpPr>
      <xdr:spPr>
        <a:xfrm>
          <a:off x="3322320" y="2164080"/>
          <a:ext cx="211074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cap="none" spc="0">
              <a:ln w="0"/>
              <a:solidFill>
                <a:schemeClr val="tx2">
                  <a:lumMod val="90000"/>
                  <a:lumOff val="10000"/>
                </a:schemeClr>
              </a:solidFill>
              <a:effectLst>
                <a:outerShdw blurRad="38100" dist="19050" dir="2700000" algn="tl" rotWithShape="0">
                  <a:schemeClr val="dk1">
                    <a:alpha val="40000"/>
                  </a:schemeClr>
                </a:outerShdw>
              </a:effectLst>
            </a:rPr>
            <a:t>ANALYTICS</a:t>
          </a:r>
        </a:p>
      </xdr:txBody>
    </xdr:sp>
    <xdr:clientData/>
  </xdr:twoCellAnchor>
  <xdr:twoCellAnchor>
    <xdr:from>
      <xdr:col>4</xdr:col>
      <xdr:colOff>396240</xdr:colOff>
      <xdr:row>14</xdr:row>
      <xdr:rowOff>16934</xdr:rowOff>
    </xdr:from>
    <xdr:to>
      <xdr:col>13</xdr:col>
      <xdr:colOff>304800</xdr:colOff>
      <xdr:row>30</xdr:row>
      <xdr:rowOff>114300</xdr:rowOff>
    </xdr:to>
    <xdr:sp macro="" textlink="">
      <xdr:nvSpPr>
        <xdr:cNvPr id="9" name="Rectangle 8">
          <a:extLst>
            <a:ext uri="{FF2B5EF4-FFF2-40B4-BE49-F238E27FC236}">
              <a16:creationId xmlns:a16="http://schemas.microsoft.com/office/drawing/2014/main" id="{F41DE6A7-2CF8-41A5-934B-5F053CED1CC1}"/>
            </a:ext>
          </a:extLst>
        </xdr:cNvPr>
        <xdr:cNvSpPr/>
      </xdr:nvSpPr>
      <xdr:spPr>
        <a:xfrm>
          <a:off x="2834640" y="2577254"/>
          <a:ext cx="5394960" cy="30234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487680</xdr:colOff>
      <xdr:row>11</xdr:row>
      <xdr:rowOff>22860</xdr:rowOff>
    </xdr:from>
    <xdr:to>
      <xdr:col>22</xdr:col>
      <xdr:colOff>396240</xdr:colOff>
      <xdr:row>20</xdr:row>
      <xdr:rowOff>106680</xdr:rowOff>
    </xdr:to>
    <xdr:sp macro="" textlink="">
      <xdr:nvSpPr>
        <xdr:cNvPr id="10" name="Rectangle 9">
          <a:extLst>
            <a:ext uri="{FF2B5EF4-FFF2-40B4-BE49-F238E27FC236}">
              <a16:creationId xmlns:a16="http://schemas.microsoft.com/office/drawing/2014/main" id="{4C4432A0-21FA-49D8-B1F7-2823A7AC6767}"/>
            </a:ext>
          </a:extLst>
        </xdr:cNvPr>
        <xdr:cNvSpPr/>
      </xdr:nvSpPr>
      <xdr:spPr>
        <a:xfrm>
          <a:off x="8412480" y="2034540"/>
          <a:ext cx="5394960" cy="17297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520700</xdr:colOff>
      <xdr:row>20</xdr:row>
      <xdr:rowOff>151553</xdr:rowOff>
    </xdr:from>
    <xdr:to>
      <xdr:col>22</xdr:col>
      <xdr:colOff>429260</xdr:colOff>
      <xdr:row>30</xdr:row>
      <xdr:rowOff>121073</xdr:rowOff>
    </xdr:to>
    <xdr:sp macro="" textlink="">
      <xdr:nvSpPr>
        <xdr:cNvPr id="11" name="Rectangle 10">
          <a:extLst>
            <a:ext uri="{FF2B5EF4-FFF2-40B4-BE49-F238E27FC236}">
              <a16:creationId xmlns:a16="http://schemas.microsoft.com/office/drawing/2014/main" id="{F5385F83-440D-42C4-9B37-700261116BA7}"/>
            </a:ext>
          </a:extLst>
        </xdr:cNvPr>
        <xdr:cNvSpPr/>
      </xdr:nvSpPr>
      <xdr:spPr>
        <a:xfrm>
          <a:off x="8445500" y="3876886"/>
          <a:ext cx="5394960" cy="18321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7</xdr:row>
      <xdr:rowOff>30480</xdr:rowOff>
    </xdr:from>
    <xdr:to>
      <xdr:col>4</xdr:col>
      <xdr:colOff>198120</xdr:colOff>
      <xdr:row>10</xdr:row>
      <xdr:rowOff>106680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B3FD656-C0EA-4920-B849-FA7E81C65F31}"/>
            </a:ext>
          </a:extLst>
        </xdr:cNvPr>
        <xdr:cNvSpPr/>
      </xdr:nvSpPr>
      <xdr:spPr>
        <a:xfrm>
          <a:off x="243840" y="1310640"/>
          <a:ext cx="2392680" cy="6248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DASH BOARD</a:t>
          </a:r>
        </a:p>
      </xdr:txBody>
    </xdr:sp>
    <xdr:clientData/>
  </xdr:twoCellAnchor>
  <xdr:twoCellAnchor>
    <xdr:from>
      <xdr:col>0</xdr:col>
      <xdr:colOff>243840</xdr:colOff>
      <xdr:row>19</xdr:row>
      <xdr:rowOff>114300</xdr:rowOff>
    </xdr:from>
    <xdr:to>
      <xdr:col>4</xdr:col>
      <xdr:colOff>198120</xdr:colOff>
      <xdr:row>23</xdr:row>
      <xdr:rowOff>7620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EB79134-FBBD-403C-BD67-B3DC6A257273}"/>
            </a:ext>
          </a:extLst>
        </xdr:cNvPr>
        <xdr:cNvSpPr/>
      </xdr:nvSpPr>
      <xdr:spPr>
        <a:xfrm>
          <a:off x="243840" y="3589020"/>
          <a:ext cx="2392680" cy="62484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twoCellAnchor>
    <xdr:from>
      <xdr:col>0</xdr:col>
      <xdr:colOff>243840</xdr:colOff>
      <xdr:row>11</xdr:row>
      <xdr:rowOff>53340</xdr:rowOff>
    </xdr:from>
    <xdr:to>
      <xdr:col>4</xdr:col>
      <xdr:colOff>198120</xdr:colOff>
      <xdr:row>14</xdr:row>
      <xdr:rowOff>129540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494C50AF-993B-4997-A732-EF06AEEA7D3A}"/>
            </a:ext>
          </a:extLst>
        </xdr:cNvPr>
        <xdr:cNvSpPr/>
      </xdr:nvSpPr>
      <xdr:spPr>
        <a:xfrm>
          <a:off x="243840" y="2102273"/>
          <a:ext cx="2392680" cy="635000"/>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PRODUCTS</a:t>
          </a:r>
        </a:p>
      </xdr:txBody>
    </xdr:sp>
    <xdr:clientData/>
  </xdr:twoCellAnchor>
  <xdr:twoCellAnchor>
    <xdr:from>
      <xdr:col>0</xdr:col>
      <xdr:colOff>236220</xdr:colOff>
      <xdr:row>15</xdr:row>
      <xdr:rowOff>83820</xdr:rowOff>
    </xdr:from>
    <xdr:to>
      <xdr:col>4</xdr:col>
      <xdr:colOff>190500</xdr:colOff>
      <xdr:row>18</xdr:row>
      <xdr:rowOff>160020</xdr:rowOff>
    </xdr:to>
    <xdr:sp macro="" textlink="">
      <xdr:nvSpPr>
        <xdr:cNvPr id="15" name="Rectangle: Rounded Corners 14">
          <a:extLst>
            <a:ext uri="{FF2B5EF4-FFF2-40B4-BE49-F238E27FC236}">
              <a16:creationId xmlns:a16="http://schemas.microsoft.com/office/drawing/2014/main" id="{9D7944E7-861B-4F05-846E-A77F0F42B397}"/>
            </a:ext>
          </a:extLst>
        </xdr:cNvPr>
        <xdr:cNvSpPr/>
      </xdr:nvSpPr>
      <xdr:spPr>
        <a:xfrm>
          <a:off x="236220" y="2827020"/>
          <a:ext cx="2392680" cy="62484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SALES MANS</a:t>
          </a:r>
        </a:p>
      </xdr:txBody>
    </xdr:sp>
    <xdr:clientData/>
  </xdr:twoCellAnchor>
  <xdr:twoCellAnchor>
    <xdr:from>
      <xdr:col>4</xdr:col>
      <xdr:colOff>396240</xdr:colOff>
      <xdr:row>18</xdr:row>
      <xdr:rowOff>167640</xdr:rowOff>
    </xdr:from>
    <xdr:to>
      <xdr:col>7</xdr:col>
      <xdr:colOff>0</xdr:colOff>
      <xdr:row>20</xdr:row>
      <xdr:rowOff>137160</xdr:rowOff>
    </xdr:to>
    <xdr:sp macro="" textlink="">
      <xdr:nvSpPr>
        <xdr:cNvPr id="16" name="Rectangle 15">
          <a:extLst>
            <a:ext uri="{FF2B5EF4-FFF2-40B4-BE49-F238E27FC236}">
              <a16:creationId xmlns:a16="http://schemas.microsoft.com/office/drawing/2014/main" id="{CB4AEA41-F64C-4075-ABC4-B1AA5540D4EE}"/>
            </a:ext>
          </a:extLst>
        </xdr:cNvPr>
        <xdr:cNvSpPr/>
      </xdr:nvSpPr>
      <xdr:spPr>
        <a:xfrm>
          <a:off x="2834640" y="3459480"/>
          <a:ext cx="14325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524932</xdr:colOff>
      <xdr:row>11</xdr:row>
      <xdr:rowOff>42333</xdr:rowOff>
    </xdr:from>
    <xdr:to>
      <xdr:col>22</xdr:col>
      <xdr:colOff>355599</xdr:colOff>
      <xdr:row>20</xdr:row>
      <xdr:rowOff>93134</xdr:rowOff>
    </xdr:to>
    <xdr:graphicFrame macro="">
      <xdr:nvGraphicFramePr>
        <xdr:cNvPr id="23" name="Chart 22">
          <a:extLst>
            <a:ext uri="{FF2B5EF4-FFF2-40B4-BE49-F238E27FC236}">
              <a16:creationId xmlns:a16="http://schemas.microsoft.com/office/drawing/2014/main" id="{BD64B43D-A89C-487B-B8F8-2834B0791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593513</xdr:colOff>
      <xdr:row>11</xdr:row>
      <xdr:rowOff>55880</xdr:rowOff>
    </xdr:from>
    <xdr:to>
      <xdr:col>17</xdr:col>
      <xdr:colOff>482601</xdr:colOff>
      <xdr:row>13</xdr:row>
      <xdr:rowOff>25400</xdr:rowOff>
    </xdr:to>
    <xdr:sp macro="" textlink="">
      <xdr:nvSpPr>
        <xdr:cNvPr id="20" name="Rectangle 19">
          <a:extLst>
            <a:ext uri="{FF2B5EF4-FFF2-40B4-BE49-F238E27FC236}">
              <a16:creationId xmlns:a16="http://schemas.microsoft.com/office/drawing/2014/main" id="{79B2973D-F56A-45B3-9C5C-D2EEAA51DD98}"/>
            </a:ext>
          </a:extLst>
        </xdr:cNvPr>
        <xdr:cNvSpPr/>
      </xdr:nvSpPr>
      <xdr:spPr>
        <a:xfrm>
          <a:off x="8518313" y="2067560"/>
          <a:ext cx="2327488"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TOP 3 SALES MANS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529167</xdr:colOff>
      <xdr:row>20</xdr:row>
      <xdr:rowOff>160016</xdr:rowOff>
    </xdr:from>
    <xdr:to>
      <xdr:col>22</xdr:col>
      <xdr:colOff>414867</xdr:colOff>
      <xdr:row>30</xdr:row>
      <xdr:rowOff>101600</xdr:rowOff>
    </xdr:to>
    <xdr:graphicFrame macro="">
      <xdr:nvGraphicFramePr>
        <xdr:cNvPr id="24" name="Chart 23">
          <a:extLst>
            <a:ext uri="{FF2B5EF4-FFF2-40B4-BE49-F238E27FC236}">
              <a16:creationId xmlns:a16="http://schemas.microsoft.com/office/drawing/2014/main" id="{3122A3E6-7492-475B-BAF7-3C5881740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536787</xdr:colOff>
      <xdr:row>21</xdr:row>
      <xdr:rowOff>15240</xdr:rowOff>
    </xdr:from>
    <xdr:to>
      <xdr:col>18</xdr:col>
      <xdr:colOff>59267</xdr:colOff>
      <xdr:row>22</xdr:row>
      <xdr:rowOff>171027</xdr:rowOff>
    </xdr:to>
    <xdr:sp macro="" textlink="">
      <xdr:nvSpPr>
        <xdr:cNvPr id="18" name="Rectangle 17">
          <a:extLst>
            <a:ext uri="{FF2B5EF4-FFF2-40B4-BE49-F238E27FC236}">
              <a16:creationId xmlns:a16="http://schemas.microsoft.com/office/drawing/2014/main" id="{757EA198-8663-4AEC-BECD-FBCEB7FC9779}"/>
            </a:ext>
          </a:extLst>
        </xdr:cNvPr>
        <xdr:cNvSpPr/>
      </xdr:nvSpPr>
      <xdr:spPr>
        <a:xfrm>
          <a:off x="8461587" y="3855720"/>
          <a:ext cx="2570480" cy="338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w="0"/>
              <a:solidFill>
                <a:schemeClr val="tx1"/>
              </a:solidFill>
              <a:effectLst>
                <a:outerShdw blurRad="38100" dist="19050" dir="2700000" algn="tl" rotWithShape="0">
                  <a:schemeClr val="dk1">
                    <a:alpha val="40000"/>
                  </a:schemeClr>
                </a:outerShdw>
              </a:effectLst>
            </a:rPr>
            <a:t>BOTTOM 3 SALES</a:t>
          </a:r>
          <a:r>
            <a:rPr lang="en-US" sz="1400" b="1" cap="none" spc="0" baseline="0">
              <a:ln w="0"/>
              <a:solidFill>
                <a:schemeClr val="tx1"/>
              </a:solidFill>
              <a:effectLst>
                <a:outerShdw blurRad="38100" dist="19050" dir="2700000" algn="tl" rotWithShape="0">
                  <a:schemeClr val="dk1">
                    <a:alpha val="40000"/>
                  </a:schemeClr>
                </a:outerShdw>
              </a:effectLst>
            </a:rPr>
            <a:t> MANS</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404708</xdr:colOff>
      <xdr:row>15</xdr:row>
      <xdr:rowOff>50800</xdr:rowOff>
    </xdr:from>
    <xdr:to>
      <xdr:col>13</xdr:col>
      <xdr:colOff>304800</xdr:colOff>
      <xdr:row>30</xdr:row>
      <xdr:rowOff>104987</xdr:rowOff>
    </xdr:to>
    <xdr:graphicFrame macro="">
      <xdr:nvGraphicFramePr>
        <xdr:cNvPr id="25" name="Chart 24">
          <a:extLst>
            <a:ext uri="{FF2B5EF4-FFF2-40B4-BE49-F238E27FC236}">
              <a16:creationId xmlns:a16="http://schemas.microsoft.com/office/drawing/2014/main" id="{3BD23CD9-88B5-464A-AC97-E637B522D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455507</xdr:colOff>
      <xdr:row>14</xdr:row>
      <xdr:rowOff>69427</xdr:rowOff>
    </xdr:from>
    <xdr:to>
      <xdr:col>9</xdr:col>
      <xdr:colOff>169333</xdr:colOff>
      <xdr:row>16</xdr:row>
      <xdr:rowOff>38946</xdr:rowOff>
    </xdr:to>
    <xdr:sp macro="" textlink="">
      <xdr:nvSpPr>
        <xdr:cNvPr id="22" name="Rectangle 21">
          <a:extLst>
            <a:ext uri="{FF2B5EF4-FFF2-40B4-BE49-F238E27FC236}">
              <a16:creationId xmlns:a16="http://schemas.microsoft.com/office/drawing/2014/main" id="{D383026B-AF31-4AFF-BF54-2D35198FD703}"/>
            </a:ext>
          </a:extLst>
        </xdr:cNvPr>
        <xdr:cNvSpPr/>
      </xdr:nvSpPr>
      <xdr:spPr>
        <a:xfrm>
          <a:off x="2893907" y="2629747"/>
          <a:ext cx="2761826" cy="3352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SALES PERFORMANCE</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22</xdr:col>
      <xdr:colOff>586740</xdr:colOff>
      <xdr:row>31</xdr:row>
      <xdr:rowOff>68580</xdr:rowOff>
    </xdr:to>
    <xdr:sp macro="" textlink="">
      <xdr:nvSpPr>
        <xdr:cNvPr id="2" name="Rectangle: Rounded Corners 1">
          <a:extLst>
            <a:ext uri="{FF2B5EF4-FFF2-40B4-BE49-F238E27FC236}">
              <a16:creationId xmlns:a16="http://schemas.microsoft.com/office/drawing/2014/main" id="{3BEB3A78-0F66-4FAD-A1C1-8804275A30D8}"/>
            </a:ext>
          </a:extLst>
        </xdr:cNvPr>
        <xdr:cNvSpPr/>
      </xdr:nvSpPr>
      <xdr:spPr>
        <a:xfrm>
          <a:off x="129540" y="53340"/>
          <a:ext cx="13868400" cy="5684520"/>
        </a:xfrm>
        <a:prstGeom prst="roundRect">
          <a:avLst>
            <a:gd name="adj" fmla="val 37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330200</xdr:colOff>
      <xdr:row>0</xdr:row>
      <xdr:rowOff>100754</xdr:rowOff>
    </xdr:from>
    <xdr:to>
      <xdr:col>22</xdr:col>
      <xdr:colOff>566420</xdr:colOff>
      <xdr:row>31</xdr:row>
      <xdr:rowOff>32174</xdr:rowOff>
    </xdr:to>
    <xdr:sp macro="" textlink="">
      <xdr:nvSpPr>
        <xdr:cNvPr id="3" name="Rectangle: Rounded Corners 2">
          <a:extLst>
            <a:ext uri="{FF2B5EF4-FFF2-40B4-BE49-F238E27FC236}">
              <a16:creationId xmlns:a16="http://schemas.microsoft.com/office/drawing/2014/main" id="{31CF99C1-613B-452D-A81E-1664C9EEA2C4}"/>
            </a:ext>
          </a:extLst>
        </xdr:cNvPr>
        <xdr:cNvSpPr/>
      </xdr:nvSpPr>
      <xdr:spPr>
        <a:xfrm>
          <a:off x="2768600" y="100754"/>
          <a:ext cx="11209020" cy="5705687"/>
        </a:xfrm>
        <a:prstGeom prst="roundRect">
          <a:avLst>
            <a:gd name="adj" fmla="val 379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411480</xdr:colOff>
      <xdr:row>0</xdr:row>
      <xdr:rowOff>129540</xdr:rowOff>
    </xdr:from>
    <xdr:to>
      <xdr:col>14</xdr:col>
      <xdr:colOff>190500</xdr:colOff>
      <xdr:row>7</xdr:row>
      <xdr:rowOff>15240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B1B27ADA-70DE-40DB-9FAD-B9D456BC8FC7}"/>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849880" y="129540"/>
              <a:ext cx="5875020" cy="1189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251460</xdr:colOff>
      <xdr:row>0</xdr:row>
      <xdr:rowOff>121920</xdr:rowOff>
    </xdr:from>
    <xdr:to>
      <xdr:col>22</xdr:col>
      <xdr:colOff>403860</xdr:colOff>
      <xdr:row>7</xdr:row>
      <xdr:rowOff>38100</xdr:rowOff>
    </xdr:to>
    <mc:AlternateContent xmlns:mc="http://schemas.openxmlformats.org/markup-compatibility/2006" xmlns:a14="http://schemas.microsoft.com/office/drawing/2010/main">
      <mc:Choice Requires="a14">
        <xdr:graphicFrame macro="">
          <xdr:nvGraphicFramePr>
            <xdr:cNvPr id="5" name="Place 4">
              <a:extLst>
                <a:ext uri="{FF2B5EF4-FFF2-40B4-BE49-F238E27FC236}">
                  <a16:creationId xmlns:a16="http://schemas.microsoft.com/office/drawing/2014/main" id="{E6E8D4C1-10DD-48E1-83F6-804CDD3B7F23}"/>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8785860" y="121920"/>
              <a:ext cx="5029200" cy="122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7</xdr:row>
      <xdr:rowOff>76200</xdr:rowOff>
    </xdr:from>
    <xdr:to>
      <xdr:col>22</xdr:col>
      <xdr:colOff>411480</xdr:colOff>
      <xdr:row>10</xdr:row>
      <xdr:rowOff>167640</xdr:rowOff>
    </xdr:to>
    <mc:AlternateContent xmlns:mc="http://schemas.openxmlformats.org/markup-compatibility/2006" xmlns:a14="http://schemas.microsoft.com/office/drawing/2010/main">
      <mc:Choice Requires="a14">
        <xdr:graphicFrame macro="">
          <xdr:nvGraphicFramePr>
            <xdr:cNvPr id="6" name="Products 4">
              <a:extLst>
                <a:ext uri="{FF2B5EF4-FFF2-40B4-BE49-F238E27FC236}">
                  <a16:creationId xmlns:a16="http://schemas.microsoft.com/office/drawing/2014/main" id="{3C6CF4AA-CAAA-47FD-A269-D3113E5BEEFC}"/>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2872740" y="1380067"/>
              <a:ext cx="10949940" cy="65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274320</xdr:colOff>
      <xdr:row>11</xdr:row>
      <xdr:rowOff>152400</xdr:rowOff>
    </xdr:from>
    <xdr:to>
      <xdr:col>8</xdr:col>
      <xdr:colOff>556260</xdr:colOff>
      <xdr:row>14</xdr:row>
      <xdr:rowOff>106680</xdr:rowOff>
    </xdr:to>
    <xdr:sp macro="" textlink="">
      <xdr:nvSpPr>
        <xdr:cNvPr id="8" name="Rectangle 7">
          <a:extLst>
            <a:ext uri="{FF2B5EF4-FFF2-40B4-BE49-F238E27FC236}">
              <a16:creationId xmlns:a16="http://schemas.microsoft.com/office/drawing/2014/main" id="{D305E24D-E7D2-49E3-836D-2CEA7CC311F5}"/>
            </a:ext>
          </a:extLst>
        </xdr:cNvPr>
        <xdr:cNvSpPr/>
      </xdr:nvSpPr>
      <xdr:spPr>
        <a:xfrm>
          <a:off x="3322320" y="2164080"/>
          <a:ext cx="211074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cap="none" spc="0">
              <a:ln w="0"/>
              <a:solidFill>
                <a:schemeClr val="tx2">
                  <a:lumMod val="90000"/>
                  <a:lumOff val="10000"/>
                </a:schemeClr>
              </a:solidFill>
              <a:effectLst>
                <a:outerShdw blurRad="38100" dist="19050" dir="2700000" algn="tl" rotWithShape="0">
                  <a:schemeClr val="dk1">
                    <a:alpha val="40000"/>
                  </a:schemeClr>
                </a:outerShdw>
              </a:effectLst>
            </a:rPr>
            <a:t>ABOUT</a:t>
          </a:r>
        </a:p>
      </xdr:txBody>
    </xdr:sp>
    <xdr:clientData/>
  </xdr:twoCellAnchor>
  <xdr:twoCellAnchor>
    <xdr:from>
      <xdr:col>4</xdr:col>
      <xdr:colOff>447040</xdr:colOff>
      <xdr:row>14</xdr:row>
      <xdr:rowOff>8467</xdr:rowOff>
    </xdr:from>
    <xdr:to>
      <xdr:col>22</xdr:col>
      <xdr:colOff>482600</xdr:colOff>
      <xdr:row>30</xdr:row>
      <xdr:rowOff>169333</xdr:rowOff>
    </xdr:to>
    <xdr:sp macro="" textlink="">
      <xdr:nvSpPr>
        <xdr:cNvPr id="9" name="Rectangle 8">
          <a:extLst>
            <a:ext uri="{FF2B5EF4-FFF2-40B4-BE49-F238E27FC236}">
              <a16:creationId xmlns:a16="http://schemas.microsoft.com/office/drawing/2014/main" id="{51707AB5-6314-4046-A322-5D69872F4CD3}"/>
            </a:ext>
          </a:extLst>
        </xdr:cNvPr>
        <xdr:cNvSpPr/>
      </xdr:nvSpPr>
      <xdr:spPr>
        <a:xfrm>
          <a:off x="2885440" y="2616200"/>
          <a:ext cx="11008360" cy="31411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7</xdr:row>
      <xdr:rowOff>30480</xdr:rowOff>
    </xdr:from>
    <xdr:to>
      <xdr:col>4</xdr:col>
      <xdr:colOff>198120</xdr:colOff>
      <xdr:row>10</xdr:row>
      <xdr:rowOff>106680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98AABBF-0133-482F-87CD-5BD6AFAB1632}"/>
            </a:ext>
          </a:extLst>
        </xdr:cNvPr>
        <xdr:cNvSpPr/>
      </xdr:nvSpPr>
      <xdr:spPr>
        <a:xfrm>
          <a:off x="243840" y="1310640"/>
          <a:ext cx="2392680" cy="6248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DASH BOARD</a:t>
          </a:r>
        </a:p>
      </xdr:txBody>
    </xdr:sp>
    <xdr:clientData/>
  </xdr:twoCellAnchor>
  <xdr:twoCellAnchor>
    <xdr:from>
      <xdr:col>0</xdr:col>
      <xdr:colOff>243840</xdr:colOff>
      <xdr:row>19</xdr:row>
      <xdr:rowOff>114300</xdr:rowOff>
    </xdr:from>
    <xdr:to>
      <xdr:col>4</xdr:col>
      <xdr:colOff>198120</xdr:colOff>
      <xdr:row>23</xdr:row>
      <xdr:rowOff>7620</xdr:rowOff>
    </xdr:to>
    <xdr:sp macro="" textlink="">
      <xdr:nvSpPr>
        <xdr:cNvPr id="13" name="Rectangle: Rounded Corners 12">
          <a:extLst>
            <a:ext uri="{FF2B5EF4-FFF2-40B4-BE49-F238E27FC236}">
              <a16:creationId xmlns:a16="http://schemas.microsoft.com/office/drawing/2014/main" id="{000E3DC0-F4D4-4FF1-9454-27A923BD3E6C}"/>
            </a:ext>
          </a:extLst>
        </xdr:cNvPr>
        <xdr:cNvSpPr/>
      </xdr:nvSpPr>
      <xdr:spPr>
        <a:xfrm>
          <a:off x="243840" y="3589020"/>
          <a:ext cx="2392680" cy="62484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ABOUT</a:t>
          </a:r>
        </a:p>
      </xdr:txBody>
    </xdr:sp>
    <xdr:clientData/>
  </xdr:twoCellAnchor>
  <xdr:twoCellAnchor>
    <xdr:from>
      <xdr:col>0</xdr:col>
      <xdr:colOff>243840</xdr:colOff>
      <xdr:row>11</xdr:row>
      <xdr:rowOff>53340</xdr:rowOff>
    </xdr:from>
    <xdr:to>
      <xdr:col>4</xdr:col>
      <xdr:colOff>198120</xdr:colOff>
      <xdr:row>14</xdr:row>
      <xdr:rowOff>129540</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D5A66D2D-22ED-4D40-B65E-06C80999F6D0}"/>
            </a:ext>
          </a:extLst>
        </xdr:cNvPr>
        <xdr:cNvSpPr/>
      </xdr:nvSpPr>
      <xdr:spPr>
        <a:xfrm>
          <a:off x="243840" y="2065020"/>
          <a:ext cx="2392680" cy="624840"/>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PRODUCTS</a:t>
          </a:r>
        </a:p>
      </xdr:txBody>
    </xdr:sp>
    <xdr:clientData/>
  </xdr:twoCellAnchor>
  <xdr:twoCellAnchor>
    <xdr:from>
      <xdr:col>0</xdr:col>
      <xdr:colOff>236220</xdr:colOff>
      <xdr:row>15</xdr:row>
      <xdr:rowOff>83820</xdr:rowOff>
    </xdr:from>
    <xdr:to>
      <xdr:col>4</xdr:col>
      <xdr:colOff>190500</xdr:colOff>
      <xdr:row>18</xdr:row>
      <xdr:rowOff>160020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31729E82-D08D-4868-8E7E-12907599AE80}"/>
            </a:ext>
          </a:extLst>
        </xdr:cNvPr>
        <xdr:cNvSpPr/>
      </xdr:nvSpPr>
      <xdr:spPr>
        <a:xfrm>
          <a:off x="236220" y="2827020"/>
          <a:ext cx="2392680" cy="62484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SALES MANS</a:t>
          </a:r>
        </a:p>
      </xdr:txBody>
    </xdr:sp>
    <xdr:clientData/>
  </xdr:twoCellAnchor>
  <xdr:twoCellAnchor>
    <xdr:from>
      <xdr:col>4</xdr:col>
      <xdr:colOff>396240</xdr:colOff>
      <xdr:row>18</xdr:row>
      <xdr:rowOff>167640</xdr:rowOff>
    </xdr:from>
    <xdr:to>
      <xdr:col>7</xdr:col>
      <xdr:colOff>0</xdr:colOff>
      <xdr:row>20</xdr:row>
      <xdr:rowOff>137160</xdr:rowOff>
    </xdr:to>
    <xdr:sp macro="" textlink="">
      <xdr:nvSpPr>
        <xdr:cNvPr id="16" name="Rectangle 15">
          <a:extLst>
            <a:ext uri="{FF2B5EF4-FFF2-40B4-BE49-F238E27FC236}">
              <a16:creationId xmlns:a16="http://schemas.microsoft.com/office/drawing/2014/main" id="{05FF5A8D-CD21-4AA5-AADC-8027F0050911}"/>
            </a:ext>
          </a:extLst>
        </xdr:cNvPr>
        <xdr:cNvSpPr/>
      </xdr:nvSpPr>
      <xdr:spPr>
        <a:xfrm>
          <a:off x="2834640" y="3459480"/>
          <a:ext cx="143256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593513</xdr:colOff>
      <xdr:row>11</xdr:row>
      <xdr:rowOff>55880</xdr:rowOff>
    </xdr:from>
    <xdr:to>
      <xdr:col>17</xdr:col>
      <xdr:colOff>482601</xdr:colOff>
      <xdr:row>13</xdr:row>
      <xdr:rowOff>25400</xdr:rowOff>
    </xdr:to>
    <xdr:sp macro="" textlink="">
      <xdr:nvSpPr>
        <xdr:cNvPr id="18" name="Rectangle 17">
          <a:extLst>
            <a:ext uri="{FF2B5EF4-FFF2-40B4-BE49-F238E27FC236}">
              <a16:creationId xmlns:a16="http://schemas.microsoft.com/office/drawing/2014/main" id="{1046F5DB-521F-465B-A064-3D48F5D7CA98}"/>
            </a:ext>
          </a:extLst>
        </xdr:cNvPr>
        <xdr:cNvSpPr/>
      </xdr:nvSpPr>
      <xdr:spPr>
        <a:xfrm>
          <a:off x="8518313" y="2067560"/>
          <a:ext cx="2327488"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536787</xdr:colOff>
      <xdr:row>21</xdr:row>
      <xdr:rowOff>15240</xdr:rowOff>
    </xdr:from>
    <xdr:to>
      <xdr:col>18</xdr:col>
      <xdr:colOff>59267</xdr:colOff>
      <xdr:row>22</xdr:row>
      <xdr:rowOff>171027</xdr:rowOff>
    </xdr:to>
    <xdr:sp macro="" textlink="">
      <xdr:nvSpPr>
        <xdr:cNvPr id="20" name="Rectangle 19">
          <a:extLst>
            <a:ext uri="{FF2B5EF4-FFF2-40B4-BE49-F238E27FC236}">
              <a16:creationId xmlns:a16="http://schemas.microsoft.com/office/drawing/2014/main" id="{4A2CCC23-98B1-421E-87ED-F579C98079D0}"/>
            </a:ext>
          </a:extLst>
        </xdr:cNvPr>
        <xdr:cNvSpPr/>
      </xdr:nvSpPr>
      <xdr:spPr>
        <a:xfrm>
          <a:off x="8461587" y="3855720"/>
          <a:ext cx="2570480" cy="338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455507</xdr:colOff>
      <xdr:row>14</xdr:row>
      <xdr:rowOff>69427</xdr:rowOff>
    </xdr:from>
    <xdr:to>
      <xdr:col>9</xdr:col>
      <xdr:colOff>169333</xdr:colOff>
      <xdr:row>16</xdr:row>
      <xdr:rowOff>38946</xdr:rowOff>
    </xdr:to>
    <xdr:sp macro="" textlink="">
      <xdr:nvSpPr>
        <xdr:cNvPr id="22" name="Rectangle 21">
          <a:extLst>
            <a:ext uri="{FF2B5EF4-FFF2-40B4-BE49-F238E27FC236}">
              <a16:creationId xmlns:a16="http://schemas.microsoft.com/office/drawing/2014/main" id="{D4BF5608-1EA9-415A-94C2-17CE6690E7DC}"/>
            </a:ext>
          </a:extLst>
        </xdr:cNvPr>
        <xdr:cNvSpPr/>
      </xdr:nvSpPr>
      <xdr:spPr>
        <a:xfrm>
          <a:off x="2893907" y="2629747"/>
          <a:ext cx="2761826" cy="3352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baseline="0">
              <a:ln w="0"/>
              <a:solidFill>
                <a:schemeClr val="tx1"/>
              </a:solidFill>
              <a:effectLst>
                <a:outerShdw blurRad="38100" dist="19050" dir="2700000" algn="tl" rotWithShape="0">
                  <a:schemeClr val="dk1">
                    <a:alpha val="40000"/>
                  </a:schemeClr>
                </a:outerShdw>
              </a:effectLst>
            </a:rPr>
            <a:t>SALES PERFORMANCE</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448738</xdr:colOff>
      <xdr:row>11</xdr:row>
      <xdr:rowOff>67740</xdr:rowOff>
    </xdr:from>
    <xdr:to>
      <xdr:col>5</xdr:col>
      <xdr:colOff>338670</xdr:colOff>
      <xdr:row>14</xdr:row>
      <xdr:rowOff>8472</xdr:rowOff>
    </xdr:to>
    <xdr:pic>
      <xdr:nvPicPr>
        <xdr:cNvPr id="24" name="Graphic 23" descr="User with solid fill">
          <a:extLst>
            <a:ext uri="{FF2B5EF4-FFF2-40B4-BE49-F238E27FC236}">
              <a16:creationId xmlns:a16="http://schemas.microsoft.com/office/drawing/2014/main" id="{FBB06F23-B5A3-F991-EEB2-7B8ABEB263B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87138" y="2116673"/>
          <a:ext cx="499532" cy="499532"/>
        </a:xfrm>
        <a:prstGeom prst="rect">
          <a:avLst/>
        </a:prstGeom>
      </xdr:spPr>
    </xdr:pic>
    <xdr:clientData/>
  </xdr:twoCellAnchor>
  <xdr:twoCellAnchor>
    <xdr:from>
      <xdr:col>4</xdr:col>
      <xdr:colOff>531707</xdr:colOff>
      <xdr:row>17</xdr:row>
      <xdr:rowOff>44027</xdr:rowOff>
    </xdr:from>
    <xdr:to>
      <xdr:col>9</xdr:col>
      <xdr:colOff>245533</xdr:colOff>
      <xdr:row>19</xdr:row>
      <xdr:rowOff>13546</xdr:rowOff>
    </xdr:to>
    <xdr:sp macro="" textlink="">
      <xdr:nvSpPr>
        <xdr:cNvPr id="26" name="Rectangle 25">
          <a:extLst>
            <a:ext uri="{FF2B5EF4-FFF2-40B4-BE49-F238E27FC236}">
              <a16:creationId xmlns:a16="http://schemas.microsoft.com/office/drawing/2014/main" id="{56F4F29B-2E59-AA43-85B7-7BEE5F1A5E06}"/>
            </a:ext>
          </a:extLst>
        </xdr:cNvPr>
        <xdr:cNvSpPr/>
      </xdr:nvSpPr>
      <xdr:spPr>
        <a:xfrm>
          <a:off x="2970107" y="3210560"/>
          <a:ext cx="2761826" cy="3420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cap="none" spc="0" baseline="0">
              <a:ln w="0"/>
              <a:solidFill>
                <a:schemeClr val="tx1"/>
              </a:solidFill>
              <a:effectLst>
                <a:outerShdw blurRad="38100" dist="19050" dir="2700000" algn="tl" rotWithShape="0">
                  <a:schemeClr val="dk1">
                    <a:alpha val="40000"/>
                  </a:schemeClr>
                </a:outerShdw>
              </a:effectLst>
            </a:rPr>
            <a:t>Version :</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540174</xdr:colOff>
      <xdr:row>18</xdr:row>
      <xdr:rowOff>128693</xdr:rowOff>
    </xdr:from>
    <xdr:to>
      <xdr:col>9</xdr:col>
      <xdr:colOff>254000</xdr:colOff>
      <xdr:row>20</xdr:row>
      <xdr:rowOff>98213</xdr:rowOff>
    </xdr:to>
    <xdr:sp macro="" textlink="">
      <xdr:nvSpPr>
        <xdr:cNvPr id="28" name="Rectangle 27">
          <a:extLst>
            <a:ext uri="{FF2B5EF4-FFF2-40B4-BE49-F238E27FC236}">
              <a16:creationId xmlns:a16="http://schemas.microsoft.com/office/drawing/2014/main" id="{96E625F9-2978-4DB9-E4FE-0544219B93F1}"/>
            </a:ext>
          </a:extLst>
        </xdr:cNvPr>
        <xdr:cNvSpPr/>
      </xdr:nvSpPr>
      <xdr:spPr>
        <a:xfrm>
          <a:off x="2978574" y="3481493"/>
          <a:ext cx="2761826" cy="3420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4</xdr:col>
      <xdr:colOff>574039</xdr:colOff>
      <xdr:row>18</xdr:row>
      <xdr:rowOff>179493</xdr:rowOff>
    </xdr:from>
    <xdr:to>
      <xdr:col>18</xdr:col>
      <xdr:colOff>160866</xdr:colOff>
      <xdr:row>20</xdr:row>
      <xdr:rowOff>149013</xdr:rowOff>
    </xdr:to>
    <xdr:sp macro="" textlink="">
      <xdr:nvSpPr>
        <xdr:cNvPr id="30" name="Rectangle 29">
          <a:extLst>
            <a:ext uri="{FF2B5EF4-FFF2-40B4-BE49-F238E27FC236}">
              <a16:creationId xmlns:a16="http://schemas.microsoft.com/office/drawing/2014/main" id="{BD7C0D24-DA5E-55FC-F134-A7650AFC5E90}"/>
            </a:ext>
          </a:extLst>
        </xdr:cNvPr>
        <xdr:cNvSpPr/>
      </xdr:nvSpPr>
      <xdr:spPr>
        <a:xfrm>
          <a:off x="3012439" y="3532293"/>
          <a:ext cx="8121227" cy="3420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cap="none" spc="0" baseline="0">
              <a:ln w="0"/>
              <a:solidFill>
                <a:schemeClr val="tx1"/>
              </a:solidFill>
              <a:effectLst>
                <a:outerShdw blurRad="38100" dist="19050" dir="2700000" algn="tl" rotWithShape="0">
                  <a:schemeClr val="dk1">
                    <a:alpha val="40000"/>
                  </a:schemeClr>
                </a:outerShdw>
              </a:effectLst>
            </a:rPr>
            <a:t>The Project is created using Excel 2021 Version but you can use Excel 2013 or later versions</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ganes\AppData\Local\Microsoft\Windows\INetCache\IE\2GMYU52M\Excel_DashBoard_Practice_File%5b1%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m" refreshedDate="45942.689910532405" createdVersion="8" refreshedVersion="8" minRefreshableVersion="3" recordCount="278" xr:uid="{D079EE51-660A-4EF0-BD5B-0273568B4BD6}">
  <cacheSource type="worksheet">
    <worksheetSource ref="A1:G279" sheet=".xlsx].xlsx].xlsx].xlsx]complete data" r:id="rId2"/>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Electronic City"/>
        <s v="Koramangala"/>
        <s v="Vega-city"/>
        <s v="Mejastic"/>
        <s v="Madiwala"/>
        <s v="Silk Board"/>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1/1/2020"/>
          <s v="Jan"/>
          <s v="Feb"/>
          <s v="Mar"/>
          <s v="Apr"/>
          <s v="May"/>
          <s v="Jun"/>
          <s v="Jul"/>
          <s v="Aug"/>
          <s v="Sep"/>
          <s v="Oct"/>
          <s v="Nov"/>
          <s v="Dec"/>
          <s v="&gt;12/31/2022"/>
        </groupItems>
      </fieldGroup>
    </cacheField>
    <cacheField name="Quarters (Date)" numFmtId="0" databaseField="0">
      <fieldGroup base="0">
        <rangePr groupBy="quarters" startDate="2020-01-01T00:00:00" endDate="2022-12-31T00:00:00"/>
        <groupItems count="6">
          <s v="&lt;1/1/2020"/>
          <s v="Qtr1"/>
          <s v="Qtr2"/>
          <s v="Qtr3"/>
          <s v="Qtr4"/>
          <s v="&gt;12/31/2022"/>
        </groupItems>
      </fieldGroup>
    </cacheField>
    <cacheField name="Years (Date)" numFmtId="0" databaseField="0">
      <fieldGroup base="0">
        <rangePr groupBy="years" startDate="2020-01-01T00:00:00" endDate="2022-12-31T00:00:00"/>
        <groupItems count="5">
          <s v="&lt;1/1/2020"/>
          <s v="2020"/>
          <s v="2021"/>
          <s v="2022"/>
          <s v="&gt;12/31/2022"/>
        </groupItems>
      </fieldGroup>
    </cacheField>
  </cacheFields>
  <extLst>
    <ext xmlns:x14="http://schemas.microsoft.com/office/spreadsheetml/2009/9/main" uri="{725AE2AE-9491-48be-B2B4-4EB974FC3084}">
      <x14:pivotCacheDefinition pivotCacheId="1362468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683AD9-0C3A-4D49-ADCC-E13899D6453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46:B5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49D58F-4E86-4432-9FDC-99E8C3B962E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130:B13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4"/>
    </i>
    <i>
      <x v="5"/>
    </i>
    <i t="grand">
      <x/>
    </i>
  </rowItems>
  <colItems count="1">
    <i/>
  </colItems>
  <dataFields count="1">
    <dataField name="Sum of Units" fld="5" baseField="0" baseItem="0"/>
  </dataFields>
  <chartFormats count="6">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B64ED-C354-48C2-A7C0-8935CC91894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14"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0"/>
        <item x="1"/>
        <item x="4"/>
        <item x="3"/>
        <item x="5"/>
        <item x="2"/>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BCE74A-849B-4F6F-8837-CE1DD0360A6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16:A117"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 fld="5" baseField="0" baseItem="0"/>
  </dataField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C166E-028D-4CF6-A8FD-4CE8F21994B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8:B2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0"/>
        <item x="1"/>
        <item x="4"/>
        <item x="3"/>
        <item x="5"/>
        <item x="2"/>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D79D2-5E5E-4A4F-8613-C0269DFC8AE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7:B3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0"/>
        <item x="1"/>
        <item x="4"/>
        <item x="3"/>
        <item x="5"/>
        <item x="2"/>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18D68-87B3-4BFA-9B49-E9A0EDD5302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149:B15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9">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09DCDE-1BD8-44E8-A81F-96A341869DE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122:B12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1"/>
    </i>
    <i>
      <x v="2"/>
    </i>
    <i t="grand">
      <x/>
    </i>
  </rowItems>
  <colItems count="1">
    <i/>
  </colItems>
  <dataFields count="1">
    <dataField name="Sum of Units" fld="5" baseField="0" baseItem="0"/>
  </dataFields>
  <chartFormats count="6">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9331B-1E32-4C32-AA06-3CC2D000ACC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79:B8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1D6FDD-323D-445D-8F7E-607A2A4DD61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90:B9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287A54-4782-4FB8-BECB-B77E2C6D7B8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52:B5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0"/>
        <item x="1"/>
        <item x="4"/>
        <item x="3"/>
        <item x="5"/>
        <item x="2"/>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D4F7E8-9780-49E2-AEA7-B31E25F55EB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41:A4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0"/>
        <item x="1"/>
        <item x="4"/>
        <item x="3"/>
        <item x="5"/>
        <item x="2"/>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EDCB02-1A9B-4D63-9709-C434D049355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8:A39"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0"/>
        <item x="1"/>
        <item x="4"/>
        <item x="3"/>
        <item x="5"/>
        <item x="2"/>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F8D647A-E60C-465F-A266-90DBD8D6E737}" sourceName="Products">
  <pivotTables>
    <pivotTable tabId="7" name="PivotTable2"/>
    <pivotTable tabId="7" name="PivotTable3"/>
    <pivotTable tabId="7" name="PivotTable4"/>
    <pivotTable tabId="7" name="PivotTable5"/>
    <pivotTable tabId="7" name="PivotTable6"/>
    <pivotTable tabId="7" name="PivotTable9"/>
    <pivotTable tabId="7" name="PivotTable10"/>
    <pivotTable tabId="7" name="PivotTable14"/>
    <pivotTable tabId="7" name="PivotTable12"/>
    <pivotTable tabId="7" name="PivotTable13"/>
  </pivotTables>
  <data>
    <tabular pivotCacheId="1362468184">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AC644F14-ED16-4A60-B5D6-41F4A9D57BC0}" sourceName="Place">
  <pivotTables>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1"/>
    <pivotTable tabId="7" name="PivotTable12"/>
    <pivotTable tabId="7" name="PivotTable13"/>
    <pivotTable tabId="7" name="PivotTable14"/>
  </pivotTables>
  <data>
    <tabular pivotCacheId="1362468184">
      <items count="6">
        <i x="0" s="1"/>
        <i x="1"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C4A16E91-8FB9-430D-9BAF-6D2227C877AD}" cache="Slicer_Products" caption="Products" columnCount="6" rowHeight="247650"/>
  <slicer name="Place 1" xr10:uid="{C5B9FB0C-E641-4A86-A4DD-F73522F40C0A}" cache="Slicer_Place" caption="Place"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B968DCC6-FB48-4F2C-AFFC-E8578F968B9E}" cache="Slicer_Products" caption="Products" columnCount="6" rowHeight="247650"/>
  <slicer name="Place 2" xr10:uid="{6E6189D5-D662-4D70-A285-BB7D6D14C34C}" cache="Slicer_Place" caption="Place" columnCoun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0BD8452F-F461-4728-9399-87C1548941CB}" cache="Slicer_Products" caption="Products" columnCount="6" rowHeight="247650"/>
  <slicer name="Place 3" xr10:uid="{9AB1C85D-B687-4854-9278-AFB233BE4661}" cache="Slicer_Place" caption="Place"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449FC003-00DB-4F12-AA74-293714035B26}" cache="Slicer_Products" caption="Products" columnCount="6" rowHeight="247650"/>
  <slicer name="Place 4" xr10:uid="{8886E3E9-ECE0-4CB1-B4E1-D5FDD7B14ACD}" cache="Slicer_Place" caption="Place"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BF43D82-9B67-4695-95F6-8321FBBE9DA6}" sourceName="Date">
  <pivotTables>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1"/>
    <pivotTable tabId="7" name="PivotTable12"/>
    <pivotTable tabId="7" name="PivotTable13"/>
    <pivotTable tabId="7" name="PivotTable14"/>
  </pivotTables>
  <state minimalRefreshVersion="6" lastRefreshVersion="6" pivotCacheId="1362468184"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C05CCB6-074E-4D6E-A648-6D2CFB572E58}" cache="NativeTimeline_Date" caption="Date" showHorizontalScrollbar="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67B78FE-8ADA-48FD-A5B8-80DF37D1FD43}" cache="NativeTimeline_Date" caption="Date" showHorizontalScrollbar="0"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52A17D1B-34D2-4F0A-9A6D-F0AC74F13620}" cache="NativeTimeline_Date" caption="Date" showHorizontalScrollbar="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7445411-3722-4F3F-AACC-08E29EEB7616}" cache="NativeTimeline_Date" caption="Date" showHorizontalScrollbar="0" level="2" selectionLevel="2"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C18"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19</v>
      </c>
      <c r="E2" s="4">
        <v>499</v>
      </c>
      <c r="F2" s="4">
        <v>50</v>
      </c>
      <c r="G2" s="5">
        <f>E2*F2</f>
        <v>24950</v>
      </c>
    </row>
    <row r="3" spans="1:7" ht="15.6" x14ac:dyDescent="0.3">
      <c r="A3" s="6">
        <v>43835</v>
      </c>
      <c r="B3" s="7" t="s">
        <v>9</v>
      </c>
      <c r="C3" s="7" t="s">
        <v>8</v>
      </c>
      <c r="D3" s="7" t="s">
        <v>20</v>
      </c>
      <c r="E3" s="7">
        <v>5599</v>
      </c>
      <c r="F3" s="7">
        <v>33</v>
      </c>
      <c r="G3" s="8">
        <f t="shared" ref="G3:G66" si="0">E3*F3</f>
        <v>184767</v>
      </c>
    </row>
    <row r="4" spans="1:7" ht="15.6" x14ac:dyDescent="0.3">
      <c r="A4" s="3">
        <v>43839</v>
      </c>
      <c r="B4" s="4" t="s">
        <v>10</v>
      </c>
      <c r="C4" s="4" t="s">
        <v>11</v>
      </c>
      <c r="D4" s="4" t="s">
        <v>21</v>
      </c>
      <c r="E4" s="4">
        <v>1450</v>
      </c>
      <c r="F4" s="4">
        <v>44</v>
      </c>
      <c r="G4" s="5">
        <f t="shared" si="0"/>
        <v>63800</v>
      </c>
    </row>
    <row r="5" spans="1:7" ht="15.6" x14ac:dyDescent="0.3">
      <c r="A5" s="6">
        <v>43843</v>
      </c>
      <c r="B5" s="7" t="s">
        <v>12</v>
      </c>
      <c r="C5" s="7" t="s">
        <v>13</v>
      </c>
      <c r="D5" s="7" t="s">
        <v>19</v>
      </c>
      <c r="E5" s="7">
        <v>85000</v>
      </c>
      <c r="F5" s="7">
        <v>50</v>
      </c>
      <c r="G5" s="8">
        <f t="shared" si="0"/>
        <v>4250000</v>
      </c>
    </row>
    <row r="6" spans="1:7" ht="15.6" x14ac:dyDescent="0.3">
      <c r="A6" s="3">
        <v>43847</v>
      </c>
      <c r="B6" s="4" t="s">
        <v>12</v>
      </c>
      <c r="C6" s="4" t="s">
        <v>14</v>
      </c>
      <c r="D6" s="4" t="s">
        <v>24</v>
      </c>
      <c r="E6" s="4">
        <v>15000</v>
      </c>
      <c r="F6" s="4">
        <v>11</v>
      </c>
      <c r="G6" s="5">
        <f t="shared" si="0"/>
        <v>165000</v>
      </c>
    </row>
    <row r="7" spans="1:7" ht="15.6" x14ac:dyDescent="0.3">
      <c r="A7" s="6">
        <v>43851</v>
      </c>
      <c r="B7" s="7" t="s">
        <v>9</v>
      </c>
      <c r="C7" s="7" t="s">
        <v>8</v>
      </c>
      <c r="D7" s="7" t="s">
        <v>24</v>
      </c>
      <c r="E7" s="7">
        <v>2550</v>
      </c>
      <c r="F7" s="7">
        <v>48</v>
      </c>
      <c r="G7" s="8">
        <f t="shared" si="0"/>
        <v>122400</v>
      </c>
    </row>
    <row r="8" spans="1:7" ht="15.6" x14ac:dyDescent="0.3">
      <c r="A8" s="3">
        <v>43855</v>
      </c>
      <c r="B8" s="4" t="s">
        <v>15</v>
      </c>
      <c r="C8" s="4" t="s">
        <v>16</v>
      </c>
      <c r="D8" s="4" t="s">
        <v>21</v>
      </c>
      <c r="E8" s="4">
        <v>33000</v>
      </c>
      <c r="F8" s="4">
        <v>26</v>
      </c>
      <c r="G8" s="5">
        <f t="shared" si="0"/>
        <v>858000</v>
      </c>
    </row>
    <row r="9" spans="1:7" ht="15.6" x14ac:dyDescent="0.3">
      <c r="A9" s="6">
        <v>43859</v>
      </c>
      <c r="B9" s="7" t="s">
        <v>7</v>
      </c>
      <c r="C9" s="7" t="s">
        <v>13</v>
      </c>
      <c r="D9" s="7" t="s">
        <v>22</v>
      </c>
      <c r="E9" s="7">
        <v>86000</v>
      </c>
      <c r="F9" s="7">
        <v>39</v>
      </c>
      <c r="G9" s="8">
        <f t="shared" si="0"/>
        <v>3354000</v>
      </c>
    </row>
    <row r="10" spans="1:7" ht="15.6" x14ac:dyDescent="0.3">
      <c r="A10" s="3">
        <v>43863</v>
      </c>
      <c r="B10" s="4" t="s">
        <v>10</v>
      </c>
      <c r="C10" s="4" t="s">
        <v>17</v>
      </c>
      <c r="D10" s="4" t="s">
        <v>24</v>
      </c>
      <c r="E10" s="4">
        <v>990</v>
      </c>
      <c r="F10" s="4">
        <v>9</v>
      </c>
      <c r="G10" s="5">
        <f t="shared" si="0"/>
        <v>8910</v>
      </c>
    </row>
    <row r="11" spans="1:7" ht="15.6" x14ac:dyDescent="0.3">
      <c r="A11" s="6">
        <v>43867</v>
      </c>
      <c r="B11" s="7" t="s">
        <v>7</v>
      </c>
      <c r="C11" s="7" t="s">
        <v>8</v>
      </c>
      <c r="D11" s="7" t="s">
        <v>19</v>
      </c>
      <c r="E11" s="7">
        <v>5599</v>
      </c>
      <c r="F11" s="7">
        <v>41</v>
      </c>
      <c r="G11" s="8">
        <f t="shared" si="0"/>
        <v>229559</v>
      </c>
    </row>
    <row r="12" spans="1:7" ht="15.6" x14ac:dyDescent="0.3">
      <c r="A12" s="3">
        <v>43871</v>
      </c>
      <c r="B12" s="4" t="s">
        <v>15</v>
      </c>
      <c r="C12" s="4" t="s">
        <v>16</v>
      </c>
      <c r="D12" s="4" t="s">
        <v>21</v>
      </c>
      <c r="E12" s="4">
        <v>499</v>
      </c>
      <c r="F12" s="4">
        <v>39</v>
      </c>
      <c r="G12" s="5">
        <f t="shared" si="0"/>
        <v>19461</v>
      </c>
    </row>
    <row r="13" spans="1:7" ht="15.6" x14ac:dyDescent="0.3">
      <c r="A13" s="6">
        <v>43875</v>
      </c>
      <c r="B13" s="7" t="s">
        <v>9</v>
      </c>
      <c r="C13" s="7" t="s">
        <v>17</v>
      </c>
      <c r="D13" s="7" t="s">
        <v>19</v>
      </c>
      <c r="E13" s="7">
        <v>1999</v>
      </c>
      <c r="F13" s="7">
        <v>4</v>
      </c>
      <c r="G13" s="8">
        <f t="shared" si="0"/>
        <v>7996</v>
      </c>
    </row>
    <row r="14" spans="1:7" ht="15.6" x14ac:dyDescent="0.3">
      <c r="A14" s="3">
        <v>43879</v>
      </c>
      <c r="B14" s="4" t="s">
        <v>12</v>
      </c>
      <c r="C14" s="4" t="s">
        <v>13</v>
      </c>
      <c r="D14" s="4" t="s">
        <v>19</v>
      </c>
      <c r="E14" s="4">
        <v>63400</v>
      </c>
      <c r="F14" s="4">
        <v>8</v>
      </c>
      <c r="G14" s="5">
        <f t="shared" si="0"/>
        <v>507200</v>
      </c>
    </row>
    <row r="15" spans="1:7" ht="15.6" x14ac:dyDescent="0.3">
      <c r="A15" s="6">
        <v>43883</v>
      </c>
      <c r="B15" s="7" t="s">
        <v>18</v>
      </c>
      <c r="C15" s="7" t="s">
        <v>17</v>
      </c>
      <c r="D15" s="7" t="s">
        <v>24</v>
      </c>
      <c r="E15" s="7">
        <v>1499</v>
      </c>
      <c r="F15" s="7">
        <v>27</v>
      </c>
      <c r="G15" s="8">
        <f t="shared" si="0"/>
        <v>40473</v>
      </c>
    </row>
    <row r="16" spans="1:7" ht="15.6" x14ac:dyDescent="0.3">
      <c r="A16" s="3">
        <v>43887</v>
      </c>
      <c r="B16" s="4" t="s">
        <v>12</v>
      </c>
      <c r="C16" s="4" t="s">
        <v>14</v>
      </c>
      <c r="D16" s="4" t="s">
        <v>21</v>
      </c>
      <c r="E16" s="4">
        <v>120</v>
      </c>
      <c r="F16" s="4">
        <v>10</v>
      </c>
      <c r="G16" s="5">
        <f t="shared" si="0"/>
        <v>1200</v>
      </c>
    </row>
    <row r="17" spans="1:7" ht="15.6" x14ac:dyDescent="0.3">
      <c r="A17" s="6">
        <v>43891</v>
      </c>
      <c r="B17" s="7" t="s">
        <v>9</v>
      </c>
      <c r="C17" s="7" t="s">
        <v>16</v>
      </c>
      <c r="D17" s="7" t="s">
        <v>22</v>
      </c>
      <c r="E17" s="7">
        <v>11999</v>
      </c>
      <c r="F17" s="7">
        <v>17</v>
      </c>
      <c r="G17" s="8">
        <f t="shared" si="0"/>
        <v>203983</v>
      </c>
    </row>
    <row r="18" spans="1:7" ht="15.6" x14ac:dyDescent="0.3">
      <c r="A18" s="3">
        <v>43895</v>
      </c>
      <c r="B18" s="4" t="s">
        <v>10</v>
      </c>
      <c r="C18" s="4" t="s">
        <v>13</v>
      </c>
      <c r="D18" s="4" t="s">
        <v>20</v>
      </c>
      <c r="E18" s="4">
        <v>47500</v>
      </c>
      <c r="F18" s="4">
        <v>27</v>
      </c>
      <c r="G18" s="5">
        <f t="shared" si="0"/>
        <v>1282500</v>
      </c>
    </row>
    <row r="19" spans="1:7" ht="15.6" x14ac:dyDescent="0.3">
      <c r="A19" s="6">
        <v>43899</v>
      </c>
      <c r="B19" s="7" t="s">
        <v>15</v>
      </c>
      <c r="C19" s="7" t="s">
        <v>16</v>
      </c>
      <c r="D19" s="7" t="s">
        <v>20</v>
      </c>
      <c r="E19" s="7">
        <v>2999</v>
      </c>
      <c r="F19" s="7">
        <v>43</v>
      </c>
      <c r="G19" s="8">
        <f t="shared" si="0"/>
        <v>128957</v>
      </c>
    </row>
    <row r="20" spans="1:7" ht="15.6" x14ac:dyDescent="0.3">
      <c r="A20" s="3">
        <v>43903</v>
      </c>
      <c r="B20" s="4" t="s">
        <v>12</v>
      </c>
      <c r="C20" s="4" t="s">
        <v>14</v>
      </c>
      <c r="D20" s="4" t="s">
        <v>20</v>
      </c>
      <c r="E20" s="4">
        <v>8900</v>
      </c>
      <c r="F20" s="4">
        <v>9</v>
      </c>
      <c r="G20" s="5">
        <f t="shared" si="0"/>
        <v>80100</v>
      </c>
    </row>
    <row r="21" spans="1:7" ht="15.6" x14ac:dyDescent="0.3">
      <c r="A21" s="6">
        <v>43907</v>
      </c>
      <c r="B21" s="7" t="s">
        <v>9</v>
      </c>
      <c r="C21" s="7" t="s">
        <v>16</v>
      </c>
      <c r="D21" s="7" t="s">
        <v>19</v>
      </c>
      <c r="E21" s="7">
        <v>22000</v>
      </c>
      <c r="F21" s="7">
        <v>42</v>
      </c>
      <c r="G21" s="8">
        <f t="shared" si="0"/>
        <v>924000</v>
      </c>
    </row>
    <row r="22" spans="1:7" ht="15.6" x14ac:dyDescent="0.3">
      <c r="A22" s="3">
        <v>43911</v>
      </c>
      <c r="B22" s="4" t="s">
        <v>10</v>
      </c>
      <c r="C22" s="4" t="s">
        <v>11</v>
      </c>
      <c r="D22" s="4" t="s">
        <v>20</v>
      </c>
      <c r="E22" s="4">
        <v>1250</v>
      </c>
      <c r="F22" s="4">
        <v>6</v>
      </c>
      <c r="G22" s="5">
        <f t="shared" si="0"/>
        <v>7500</v>
      </c>
    </row>
    <row r="23" spans="1:7" ht="15.6" x14ac:dyDescent="0.3">
      <c r="A23" s="6">
        <v>43915</v>
      </c>
      <c r="B23" s="7" t="s">
        <v>12</v>
      </c>
      <c r="C23" s="7" t="s">
        <v>14</v>
      </c>
      <c r="D23" s="7" t="s">
        <v>24</v>
      </c>
      <c r="E23" s="7">
        <v>999</v>
      </c>
      <c r="F23" s="7">
        <v>28</v>
      </c>
      <c r="G23" s="8">
        <f t="shared" si="0"/>
        <v>27972</v>
      </c>
    </row>
    <row r="24" spans="1:7" ht="15.6" x14ac:dyDescent="0.3">
      <c r="A24" s="3">
        <v>43919</v>
      </c>
      <c r="B24" s="4" t="s">
        <v>15</v>
      </c>
      <c r="C24" s="4" t="s">
        <v>11</v>
      </c>
      <c r="D24" s="4" t="s">
        <v>22</v>
      </c>
      <c r="E24" s="4">
        <v>1450</v>
      </c>
      <c r="F24" s="4">
        <v>13</v>
      </c>
      <c r="G24" s="5">
        <f t="shared" si="0"/>
        <v>18850</v>
      </c>
    </row>
    <row r="25" spans="1:7" ht="15.6" x14ac:dyDescent="0.3">
      <c r="A25" s="6">
        <v>43923</v>
      </c>
      <c r="B25" s="7" t="s">
        <v>15</v>
      </c>
      <c r="C25" s="7" t="s">
        <v>11</v>
      </c>
      <c r="D25" s="7" t="s">
        <v>21</v>
      </c>
      <c r="E25" s="7">
        <v>23999</v>
      </c>
      <c r="F25" s="7">
        <v>8</v>
      </c>
      <c r="G25" s="8">
        <f t="shared" si="0"/>
        <v>191992</v>
      </c>
    </row>
    <row r="26" spans="1:7" ht="15.6" x14ac:dyDescent="0.3">
      <c r="A26" s="3">
        <v>43927</v>
      </c>
      <c r="B26" s="4" t="s">
        <v>9</v>
      </c>
      <c r="C26" s="4" t="s">
        <v>13</v>
      </c>
      <c r="D26" s="4" t="s">
        <v>22</v>
      </c>
      <c r="E26" s="4">
        <v>65200</v>
      </c>
      <c r="F26" s="4">
        <v>7</v>
      </c>
      <c r="G26" s="5">
        <f t="shared" si="0"/>
        <v>456400</v>
      </c>
    </row>
    <row r="27" spans="1:7" ht="15.6" x14ac:dyDescent="0.3">
      <c r="A27" s="6">
        <v>43931</v>
      </c>
      <c r="B27" s="7" t="s">
        <v>9</v>
      </c>
      <c r="C27" s="7" t="s">
        <v>17</v>
      </c>
      <c r="D27" s="7" t="s">
        <v>20</v>
      </c>
      <c r="E27" s="7">
        <v>699</v>
      </c>
      <c r="F27" s="7">
        <v>45</v>
      </c>
      <c r="G27" s="8">
        <f t="shared" si="0"/>
        <v>31455</v>
      </c>
    </row>
    <row r="28" spans="1:7" ht="15.6" x14ac:dyDescent="0.3">
      <c r="A28" s="3">
        <v>43935</v>
      </c>
      <c r="B28" s="4" t="s">
        <v>7</v>
      </c>
      <c r="C28" s="4" t="s">
        <v>8</v>
      </c>
      <c r="D28" s="4" t="s">
        <v>19</v>
      </c>
      <c r="E28" s="4">
        <v>2550</v>
      </c>
      <c r="F28" s="4">
        <v>22</v>
      </c>
      <c r="G28" s="5">
        <f t="shared" si="0"/>
        <v>56100</v>
      </c>
    </row>
    <row r="29" spans="1:7" ht="15.6" x14ac:dyDescent="0.3">
      <c r="A29" s="6">
        <v>43939</v>
      </c>
      <c r="B29" s="7" t="s">
        <v>10</v>
      </c>
      <c r="C29" s="7" t="s">
        <v>16</v>
      </c>
      <c r="D29" s="7" t="s">
        <v>22</v>
      </c>
      <c r="E29" s="7">
        <v>22000</v>
      </c>
      <c r="F29" s="7">
        <v>4</v>
      </c>
      <c r="G29" s="8">
        <f t="shared" si="0"/>
        <v>88000</v>
      </c>
    </row>
    <row r="30" spans="1:7" ht="15.6" x14ac:dyDescent="0.3">
      <c r="A30" s="3">
        <v>43943</v>
      </c>
      <c r="B30" s="4" t="s">
        <v>15</v>
      </c>
      <c r="C30" s="4" t="s">
        <v>13</v>
      </c>
      <c r="D30" s="4" t="s">
        <v>19</v>
      </c>
      <c r="E30" s="4">
        <v>22000</v>
      </c>
      <c r="F30" s="4">
        <v>10</v>
      </c>
      <c r="G30" s="5">
        <f t="shared" si="0"/>
        <v>220000</v>
      </c>
    </row>
    <row r="31" spans="1:7" ht="15.6" x14ac:dyDescent="0.3">
      <c r="A31" s="6">
        <v>43947</v>
      </c>
      <c r="B31" s="7" t="s">
        <v>18</v>
      </c>
      <c r="C31" s="7" t="s">
        <v>17</v>
      </c>
      <c r="D31" s="7" t="s">
        <v>24</v>
      </c>
      <c r="E31" s="7">
        <v>1499</v>
      </c>
      <c r="F31" s="7">
        <v>16</v>
      </c>
      <c r="G31" s="8">
        <f t="shared" si="0"/>
        <v>23984</v>
      </c>
    </row>
    <row r="32" spans="1:7" ht="15.6" x14ac:dyDescent="0.3">
      <c r="A32" s="3">
        <v>43951</v>
      </c>
      <c r="B32" s="4" t="s">
        <v>9</v>
      </c>
      <c r="C32" s="4" t="s">
        <v>14</v>
      </c>
      <c r="D32" s="4" t="s">
        <v>22</v>
      </c>
      <c r="E32" s="4">
        <v>120</v>
      </c>
      <c r="F32" s="4">
        <v>22</v>
      </c>
      <c r="G32" s="5">
        <f t="shared" si="0"/>
        <v>2640</v>
      </c>
    </row>
    <row r="33" spans="1:7" ht="15.6" x14ac:dyDescent="0.3">
      <c r="A33" s="6">
        <v>43955</v>
      </c>
      <c r="B33" s="7" t="s">
        <v>7</v>
      </c>
      <c r="C33" s="7" t="s">
        <v>8</v>
      </c>
      <c r="D33" s="7" t="s">
        <v>21</v>
      </c>
      <c r="E33" s="7">
        <v>1450</v>
      </c>
      <c r="F33" s="7">
        <v>20</v>
      </c>
      <c r="G33" s="8">
        <f t="shared" si="0"/>
        <v>29000</v>
      </c>
    </row>
    <row r="34" spans="1:7" ht="15.6" x14ac:dyDescent="0.3">
      <c r="A34" s="3">
        <v>43959</v>
      </c>
      <c r="B34" s="4" t="s">
        <v>18</v>
      </c>
      <c r="C34" s="4" t="s">
        <v>17</v>
      </c>
      <c r="D34" s="4" t="s">
        <v>24</v>
      </c>
      <c r="E34" s="4">
        <v>1999</v>
      </c>
      <c r="F34" s="4">
        <v>23</v>
      </c>
      <c r="G34" s="5">
        <f t="shared" si="0"/>
        <v>45977</v>
      </c>
    </row>
    <row r="35" spans="1:7" ht="15.6" x14ac:dyDescent="0.3">
      <c r="A35" s="6">
        <v>43963</v>
      </c>
      <c r="B35" s="7" t="s">
        <v>9</v>
      </c>
      <c r="C35" s="7" t="s">
        <v>8</v>
      </c>
      <c r="D35" s="7" t="s">
        <v>19</v>
      </c>
      <c r="E35" s="7">
        <v>800</v>
      </c>
      <c r="F35" s="7">
        <v>43</v>
      </c>
      <c r="G35" s="8">
        <f t="shared" si="0"/>
        <v>34400</v>
      </c>
    </row>
    <row r="36" spans="1:7" ht="15.6" x14ac:dyDescent="0.3">
      <c r="A36" s="3">
        <v>43967</v>
      </c>
      <c r="B36" s="4" t="s">
        <v>10</v>
      </c>
      <c r="C36" s="4" t="s">
        <v>14</v>
      </c>
      <c r="D36" s="4" t="s">
        <v>24</v>
      </c>
      <c r="E36" s="4">
        <v>18000</v>
      </c>
      <c r="F36" s="4">
        <v>41</v>
      </c>
      <c r="G36" s="5">
        <f t="shared" si="0"/>
        <v>738000</v>
      </c>
    </row>
    <row r="37" spans="1:7" ht="15.6" x14ac:dyDescent="0.3">
      <c r="A37" s="6">
        <v>43971</v>
      </c>
      <c r="B37" s="7" t="s">
        <v>7</v>
      </c>
      <c r="C37" s="7" t="s">
        <v>8</v>
      </c>
      <c r="D37" s="7" t="s">
        <v>20</v>
      </c>
      <c r="E37" s="7">
        <v>13999</v>
      </c>
      <c r="F37" s="7">
        <v>37</v>
      </c>
      <c r="G37" s="8">
        <f t="shared" si="0"/>
        <v>517963</v>
      </c>
    </row>
    <row r="38" spans="1:7" ht="15.6" x14ac:dyDescent="0.3">
      <c r="A38" s="3">
        <v>43975</v>
      </c>
      <c r="B38" s="4" t="s">
        <v>9</v>
      </c>
      <c r="C38" s="4" t="s">
        <v>16</v>
      </c>
      <c r="D38" s="4" t="s">
        <v>24</v>
      </c>
      <c r="E38" s="4">
        <v>22000</v>
      </c>
      <c r="F38" s="4">
        <v>45</v>
      </c>
      <c r="G38" s="5">
        <f t="shared" si="0"/>
        <v>990000</v>
      </c>
    </row>
    <row r="39" spans="1:7" ht="15.6" x14ac:dyDescent="0.3">
      <c r="A39" s="6">
        <v>43979</v>
      </c>
      <c r="B39" s="7" t="s">
        <v>15</v>
      </c>
      <c r="C39" s="7" t="s">
        <v>13</v>
      </c>
      <c r="D39" s="7" t="s">
        <v>19</v>
      </c>
      <c r="E39" s="7">
        <v>89999</v>
      </c>
      <c r="F39" s="7">
        <v>15</v>
      </c>
      <c r="G39" s="8">
        <f t="shared" si="0"/>
        <v>1349985</v>
      </c>
    </row>
    <row r="40" spans="1:7" ht="15.6" x14ac:dyDescent="0.3">
      <c r="A40" s="3">
        <v>43983</v>
      </c>
      <c r="B40" s="4" t="s">
        <v>7</v>
      </c>
      <c r="C40" s="4" t="s">
        <v>8</v>
      </c>
      <c r="D40" s="4" t="s">
        <v>21</v>
      </c>
      <c r="E40" s="4">
        <v>13999</v>
      </c>
      <c r="F40" s="4">
        <v>22</v>
      </c>
      <c r="G40" s="5">
        <f t="shared" si="0"/>
        <v>307978</v>
      </c>
    </row>
    <row r="41" spans="1:7" ht="15.6" x14ac:dyDescent="0.3">
      <c r="A41" s="6">
        <v>43987</v>
      </c>
      <c r="B41" s="7" t="s">
        <v>10</v>
      </c>
      <c r="C41" s="7" t="s">
        <v>17</v>
      </c>
      <c r="D41" s="7" t="s">
        <v>20</v>
      </c>
      <c r="E41" s="7">
        <v>2900</v>
      </c>
      <c r="F41" s="7">
        <v>20</v>
      </c>
      <c r="G41" s="8">
        <f t="shared" si="0"/>
        <v>58000</v>
      </c>
    </row>
    <row r="42" spans="1:7" ht="15.6" x14ac:dyDescent="0.3">
      <c r="A42" s="3">
        <v>43991</v>
      </c>
      <c r="B42" s="4" t="s">
        <v>9</v>
      </c>
      <c r="C42" s="4" t="s">
        <v>16</v>
      </c>
      <c r="D42" s="4" t="s">
        <v>24</v>
      </c>
      <c r="E42" s="4">
        <v>33000</v>
      </c>
      <c r="F42" s="4">
        <v>16</v>
      </c>
      <c r="G42" s="5">
        <f t="shared" si="0"/>
        <v>528000</v>
      </c>
    </row>
    <row r="43" spans="1:7" ht="15.6" x14ac:dyDescent="0.3">
      <c r="A43" s="6">
        <v>43995</v>
      </c>
      <c r="B43" s="7" t="s">
        <v>10</v>
      </c>
      <c r="C43" s="7" t="s">
        <v>16</v>
      </c>
      <c r="D43" s="7" t="s">
        <v>20</v>
      </c>
      <c r="E43" s="7">
        <v>22000</v>
      </c>
      <c r="F43" s="7">
        <v>17</v>
      </c>
      <c r="G43" s="8">
        <f t="shared" si="0"/>
        <v>374000</v>
      </c>
    </row>
    <row r="44" spans="1:7" ht="15.6" x14ac:dyDescent="0.3">
      <c r="A44" s="3">
        <v>43999</v>
      </c>
      <c r="B44" s="4" t="s">
        <v>18</v>
      </c>
      <c r="C44" s="4" t="s">
        <v>17</v>
      </c>
      <c r="D44" s="4" t="s">
        <v>20</v>
      </c>
      <c r="E44" s="4">
        <v>699</v>
      </c>
      <c r="F44" s="4">
        <v>50</v>
      </c>
      <c r="G44" s="5">
        <f t="shared" si="0"/>
        <v>34950</v>
      </c>
    </row>
    <row r="45" spans="1:7" ht="15.6" x14ac:dyDescent="0.3">
      <c r="A45" s="6">
        <v>44003</v>
      </c>
      <c r="B45" s="7" t="s">
        <v>15</v>
      </c>
      <c r="C45" s="7" t="s">
        <v>16</v>
      </c>
      <c r="D45" s="7" t="s">
        <v>21</v>
      </c>
      <c r="E45" s="7">
        <v>499</v>
      </c>
      <c r="F45" s="7">
        <v>4</v>
      </c>
      <c r="G45" s="8">
        <f t="shared" si="0"/>
        <v>1996</v>
      </c>
    </row>
    <row r="46" spans="1:7" ht="15.6" x14ac:dyDescent="0.3">
      <c r="A46" s="3">
        <v>44007</v>
      </c>
      <c r="B46" s="4" t="s">
        <v>9</v>
      </c>
      <c r="C46" s="4" t="s">
        <v>17</v>
      </c>
      <c r="D46" s="4" t="s">
        <v>24</v>
      </c>
      <c r="E46" s="4">
        <v>590</v>
      </c>
      <c r="F46" s="4">
        <v>43</v>
      </c>
      <c r="G46" s="5">
        <f t="shared" si="0"/>
        <v>25370</v>
      </c>
    </row>
    <row r="47" spans="1:7" ht="15.6" x14ac:dyDescent="0.3">
      <c r="A47" s="6">
        <v>44011</v>
      </c>
      <c r="B47" s="7" t="s">
        <v>18</v>
      </c>
      <c r="C47" s="7" t="s">
        <v>17</v>
      </c>
      <c r="D47" s="7" t="s">
        <v>20</v>
      </c>
      <c r="E47" s="7">
        <v>590</v>
      </c>
      <c r="F47" s="7">
        <v>42</v>
      </c>
      <c r="G47" s="8">
        <f t="shared" si="0"/>
        <v>24780</v>
      </c>
    </row>
    <row r="48" spans="1:7" ht="15.6" x14ac:dyDescent="0.3">
      <c r="A48" s="3">
        <v>44015</v>
      </c>
      <c r="B48" s="4" t="s">
        <v>9</v>
      </c>
      <c r="C48" s="4" t="s">
        <v>13</v>
      </c>
      <c r="D48" s="4" t="s">
        <v>19</v>
      </c>
      <c r="E48" s="4">
        <v>120</v>
      </c>
      <c r="F48" s="4">
        <v>9</v>
      </c>
      <c r="G48" s="5">
        <f t="shared" si="0"/>
        <v>1080</v>
      </c>
    </row>
    <row r="49" spans="1:7" ht="15.6" x14ac:dyDescent="0.3">
      <c r="A49" s="6">
        <v>44019</v>
      </c>
      <c r="B49" s="7" t="s">
        <v>15</v>
      </c>
      <c r="C49" s="7" t="s">
        <v>16</v>
      </c>
      <c r="D49" s="7" t="s">
        <v>22</v>
      </c>
      <c r="E49" s="7">
        <v>52000</v>
      </c>
      <c r="F49" s="7">
        <v>40</v>
      </c>
      <c r="G49" s="8">
        <f t="shared" si="0"/>
        <v>2080000</v>
      </c>
    </row>
    <row r="50" spans="1:7" ht="15.6" x14ac:dyDescent="0.3">
      <c r="A50" s="3">
        <v>44023</v>
      </c>
      <c r="B50" s="4" t="s">
        <v>10</v>
      </c>
      <c r="C50" s="4" t="s">
        <v>11</v>
      </c>
      <c r="D50" s="4" t="s">
        <v>24</v>
      </c>
      <c r="E50" s="4">
        <v>7999</v>
      </c>
      <c r="F50" s="4">
        <v>14</v>
      </c>
      <c r="G50" s="5">
        <f t="shared" si="0"/>
        <v>111986</v>
      </c>
    </row>
    <row r="51" spans="1:7" ht="15.6" x14ac:dyDescent="0.3">
      <c r="A51" s="6">
        <v>44027</v>
      </c>
      <c r="B51" s="7" t="s">
        <v>9</v>
      </c>
      <c r="C51" s="7" t="s">
        <v>11</v>
      </c>
      <c r="D51" s="7" t="s">
        <v>22</v>
      </c>
      <c r="E51" s="7">
        <v>550</v>
      </c>
      <c r="F51" s="7">
        <v>9</v>
      </c>
      <c r="G51" s="8">
        <f t="shared" si="0"/>
        <v>4950</v>
      </c>
    </row>
    <row r="52" spans="1:7" ht="15.6" x14ac:dyDescent="0.3">
      <c r="A52" s="3">
        <v>44031</v>
      </c>
      <c r="B52" s="4" t="s">
        <v>10</v>
      </c>
      <c r="C52" s="4" t="s">
        <v>13</v>
      </c>
      <c r="D52" s="4" t="s">
        <v>24</v>
      </c>
      <c r="E52" s="4">
        <v>79999</v>
      </c>
      <c r="F52" s="4">
        <v>10</v>
      </c>
      <c r="G52" s="5">
        <f t="shared" si="0"/>
        <v>799990</v>
      </c>
    </row>
    <row r="53" spans="1:7" ht="15.6" x14ac:dyDescent="0.3">
      <c r="A53" s="6">
        <v>44035</v>
      </c>
      <c r="B53" s="7" t="s">
        <v>18</v>
      </c>
      <c r="C53" s="7" t="s">
        <v>17</v>
      </c>
      <c r="D53" s="7" t="s">
        <v>24</v>
      </c>
      <c r="E53" s="7">
        <v>1999</v>
      </c>
      <c r="F53" s="7">
        <v>37</v>
      </c>
      <c r="G53" s="8">
        <f t="shared" si="0"/>
        <v>73963</v>
      </c>
    </row>
    <row r="54" spans="1:7" ht="15.6" x14ac:dyDescent="0.3">
      <c r="A54" s="3">
        <v>44039</v>
      </c>
      <c r="B54" s="4" t="s">
        <v>15</v>
      </c>
      <c r="C54" s="4" t="s">
        <v>16</v>
      </c>
      <c r="D54" s="4" t="s">
        <v>21</v>
      </c>
      <c r="E54" s="4">
        <v>89999</v>
      </c>
      <c r="F54" s="4">
        <v>29</v>
      </c>
      <c r="G54" s="5">
        <f t="shared" si="0"/>
        <v>2609971</v>
      </c>
    </row>
    <row r="55" spans="1:7" ht="15.6" x14ac:dyDescent="0.3">
      <c r="A55" s="6">
        <v>44043</v>
      </c>
      <c r="B55" s="7" t="s">
        <v>9</v>
      </c>
      <c r="C55" s="7" t="s">
        <v>13</v>
      </c>
      <c r="D55" s="7" t="s">
        <v>24</v>
      </c>
      <c r="E55" s="7">
        <v>78500</v>
      </c>
      <c r="F55" s="7">
        <v>44</v>
      </c>
      <c r="G55" s="8">
        <f t="shared" si="0"/>
        <v>3454000</v>
      </c>
    </row>
    <row r="56" spans="1:7" ht="15.6" x14ac:dyDescent="0.3">
      <c r="A56" s="3">
        <v>44047</v>
      </c>
      <c r="B56" s="4" t="s">
        <v>15</v>
      </c>
      <c r="C56" s="4" t="s">
        <v>16</v>
      </c>
      <c r="D56" s="4" t="s">
        <v>20</v>
      </c>
      <c r="E56" s="4">
        <v>3990</v>
      </c>
      <c r="F56" s="4">
        <v>31</v>
      </c>
      <c r="G56" s="5">
        <f t="shared" si="0"/>
        <v>123690</v>
      </c>
    </row>
    <row r="57" spans="1:7" ht="15.6" x14ac:dyDescent="0.3">
      <c r="A57" s="6">
        <v>44051</v>
      </c>
      <c r="B57" s="7" t="s">
        <v>10</v>
      </c>
      <c r="C57" s="7" t="s">
        <v>16</v>
      </c>
      <c r="D57" s="7" t="s">
        <v>24</v>
      </c>
      <c r="E57" s="7">
        <v>52000</v>
      </c>
      <c r="F57" s="7">
        <v>29</v>
      </c>
      <c r="G57" s="8">
        <f t="shared" si="0"/>
        <v>1508000</v>
      </c>
    </row>
    <row r="58" spans="1:7" ht="15.6" x14ac:dyDescent="0.3">
      <c r="A58" s="3">
        <v>44055</v>
      </c>
      <c r="B58" s="4" t="s">
        <v>7</v>
      </c>
      <c r="C58" s="4" t="s">
        <v>13</v>
      </c>
      <c r="D58" s="4" t="s">
        <v>24</v>
      </c>
      <c r="E58" s="4">
        <v>13999</v>
      </c>
      <c r="F58" s="4">
        <v>34</v>
      </c>
      <c r="G58" s="5">
        <f t="shared" si="0"/>
        <v>475966</v>
      </c>
    </row>
    <row r="59" spans="1:7" ht="15.6" x14ac:dyDescent="0.3">
      <c r="A59" s="6">
        <v>44059</v>
      </c>
      <c r="B59" s="7" t="s">
        <v>9</v>
      </c>
      <c r="C59" s="7" t="s">
        <v>14</v>
      </c>
      <c r="D59" s="7" t="s">
        <v>20</v>
      </c>
      <c r="E59" s="7">
        <v>120</v>
      </c>
      <c r="F59" s="7">
        <v>29</v>
      </c>
      <c r="G59" s="8">
        <f t="shared" si="0"/>
        <v>3480</v>
      </c>
    </row>
    <row r="60" spans="1:7" ht="15.6" x14ac:dyDescent="0.3">
      <c r="A60" s="3">
        <v>44063</v>
      </c>
      <c r="B60" s="4" t="s">
        <v>15</v>
      </c>
      <c r="C60" s="4" t="s">
        <v>11</v>
      </c>
      <c r="D60" s="4" t="s">
        <v>20</v>
      </c>
      <c r="E60" s="4">
        <v>23999</v>
      </c>
      <c r="F60" s="4">
        <v>25</v>
      </c>
      <c r="G60" s="5">
        <f t="shared" si="0"/>
        <v>599975</v>
      </c>
    </row>
    <row r="61" spans="1:7" ht="15.6" x14ac:dyDescent="0.3">
      <c r="A61" s="6">
        <v>44067</v>
      </c>
      <c r="B61" s="7" t="s">
        <v>15</v>
      </c>
      <c r="C61" s="7" t="s">
        <v>13</v>
      </c>
      <c r="D61" s="7" t="s">
        <v>24</v>
      </c>
      <c r="E61" s="7">
        <v>45000</v>
      </c>
      <c r="F61" s="7">
        <v>31</v>
      </c>
      <c r="G61" s="8">
        <f t="shared" si="0"/>
        <v>1395000</v>
      </c>
    </row>
    <row r="62" spans="1:7" ht="15.6" x14ac:dyDescent="0.3">
      <c r="A62" s="3">
        <v>44071</v>
      </c>
      <c r="B62" s="4" t="s">
        <v>9</v>
      </c>
      <c r="C62" s="4" t="s">
        <v>17</v>
      </c>
      <c r="D62" s="4" t="s">
        <v>20</v>
      </c>
      <c r="E62" s="4">
        <v>450</v>
      </c>
      <c r="F62" s="4">
        <v>16</v>
      </c>
      <c r="G62" s="5">
        <f t="shared" si="0"/>
        <v>7200</v>
      </c>
    </row>
    <row r="63" spans="1:7" ht="15.6" x14ac:dyDescent="0.3">
      <c r="A63" s="6">
        <v>44075</v>
      </c>
      <c r="B63" s="7" t="s">
        <v>12</v>
      </c>
      <c r="C63" s="7" t="s">
        <v>14</v>
      </c>
      <c r="D63" s="7" t="s">
        <v>24</v>
      </c>
      <c r="E63" s="7">
        <v>65000</v>
      </c>
      <c r="F63" s="7">
        <v>48</v>
      </c>
      <c r="G63" s="8">
        <f t="shared" si="0"/>
        <v>3120000</v>
      </c>
    </row>
    <row r="64" spans="1:7" ht="15.6" x14ac:dyDescent="0.3">
      <c r="A64" s="3">
        <v>44079</v>
      </c>
      <c r="B64" s="4" t="s">
        <v>10</v>
      </c>
      <c r="C64" s="4" t="s">
        <v>13</v>
      </c>
      <c r="D64" s="4" t="s">
        <v>22</v>
      </c>
      <c r="E64" s="4">
        <v>35600</v>
      </c>
      <c r="F64" s="4">
        <v>22</v>
      </c>
      <c r="G64" s="5">
        <f t="shared" si="0"/>
        <v>783200</v>
      </c>
    </row>
    <row r="65" spans="1:7" ht="15.6" x14ac:dyDescent="0.3">
      <c r="A65" s="6">
        <v>44083</v>
      </c>
      <c r="B65" s="7" t="s">
        <v>18</v>
      </c>
      <c r="C65" s="7" t="s">
        <v>17</v>
      </c>
      <c r="D65" s="7" t="s">
        <v>21</v>
      </c>
      <c r="E65" s="7">
        <v>699</v>
      </c>
      <c r="F65" s="7">
        <v>6</v>
      </c>
      <c r="G65" s="8">
        <f t="shared" si="0"/>
        <v>4194</v>
      </c>
    </row>
    <row r="66" spans="1:7" ht="15.6" x14ac:dyDescent="0.3">
      <c r="A66" s="3">
        <v>44087</v>
      </c>
      <c r="B66" s="4" t="s">
        <v>9</v>
      </c>
      <c r="C66" s="4" t="s">
        <v>17</v>
      </c>
      <c r="D66" s="4" t="s">
        <v>20</v>
      </c>
      <c r="E66" s="4">
        <v>990</v>
      </c>
      <c r="F66" s="4">
        <v>12</v>
      </c>
      <c r="G66" s="5">
        <f t="shared" si="0"/>
        <v>11880</v>
      </c>
    </row>
    <row r="67" spans="1:7" ht="15.6" x14ac:dyDescent="0.3">
      <c r="A67" s="6">
        <v>44091</v>
      </c>
      <c r="B67" s="7" t="s">
        <v>18</v>
      </c>
      <c r="C67" s="7" t="s">
        <v>13</v>
      </c>
      <c r="D67" s="7" t="s">
        <v>19</v>
      </c>
      <c r="E67" s="7">
        <v>450</v>
      </c>
      <c r="F67" s="7">
        <v>44</v>
      </c>
      <c r="G67" s="8">
        <f t="shared" ref="G67:G130" si="1">E67*F67</f>
        <v>19800</v>
      </c>
    </row>
    <row r="68" spans="1:7" ht="15.6" x14ac:dyDescent="0.3">
      <c r="A68" s="3">
        <v>44095</v>
      </c>
      <c r="B68" s="4" t="s">
        <v>18</v>
      </c>
      <c r="C68" s="4" t="s">
        <v>17</v>
      </c>
      <c r="D68" s="4" t="s">
        <v>21</v>
      </c>
      <c r="E68" s="4">
        <v>1499</v>
      </c>
      <c r="F68" s="4">
        <v>15</v>
      </c>
      <c r="G68" s="5">
        <f t="shared" si="1"/>
        <v>22485</v>
      </c>
    </row>
    <row r="69" spans="1:7" ht="15.6" x14ac:dyDescent="0.3">
      <c r="A69" s="6">
        <v>44099</v>
      </c>
      <c r="B69" s="7" t="s">
        <v>7</v>
      </c>
      <c r="C69" s="7" t="s">
        <v>8</v>
      </c>
      <c r="D69" s="7" t="s">
        <v>22</v>
      </c>
      <c r="E69" s="7">
        <v>499</v>
      </c>
      <c r="F69" s="7">
        <v>26</v>
      </c>
      <c r="G69" s="8">
        <f t="shared" si="1"/>
        <v>12974</v>
      </c>
    </row>
    <row r="70" spans="1:7" ht="15.6" x14ac:dyDescent="0.3">
      <c r="A70" s="3">
        <v>44103</v>
      </c>
      <c r="B70" s="4" t="s">
        <v>10</v>
      </c>
      <c r="C70" s="4" t="s">
        <v>13</v>
      </c>
      <c r="D70" s="4" t="s">
        <v>22</v>
      </c>
      <c r="E70" s="4">
        <v>44000</v>
      </c>
      <c r="F70" s="4">
        <v>16</v>
      </c>
      <c r="G70" s="5">
        <f t="shared" si="1"/>
        <v>704000</v>
      </c>
    </row>
    <row r="71" spans="1:7" ht="15.6" x14ac:dyDescent="0.3">
      <c r="A71" s="6">
        <v>44107</v>
      </c>
      <c r="B71" s="7" t="s">
        <v>7</v>
      </c>
      <c r="C71" s="7" t="s">
        <v>8</v>
      </c>
      <c r="D71" s="7" t="s">
        <v>24</v>
      </c>
      <c r="E71" s="7">
        <v>5599</v>
      </c>
      <c r="F71" s="7">
        <v>35</v>
      </c>
      <c r="G71" s="8">
        <f t="shared" si="1"/>
        <v>195965</v>
      </c>
    </row>
    <row r="72" spans="1:7" ht="15.6" x14ac:dyDescent="0.3">
      <c r="A72" s="3">
        <v>44111</v>
      </c>
      <c r="B72" s="4" t="s">
        <v>12</v>
      </c>
      <c r="C72" s="4" t="s">
        <v>13</v>
      </c>
      <c r="D72" s="4" t="s">
        <v>19</v>
      </c>
      <c r="E72" s="4">
        <v>54100</v>
      </c>
      <c r="F72" s="4">
        <v>36</v>
      </c>
      <c r="G72" s="5">
        <f t="shared" si="1"/>
        <v>1947600</v>
      </c>
    </row>
    <row r="73" spans="1:7" ht="15.6" x14ac:dyDescent="0.3">
      <c r="A73" s="6">
        <v>44115</v>
      </c>
      <c r="B73" s="7" t="s">
        <v>7</v>
      </c>
      <c r="C73" s="7" t="s">
        <v>8</v>
      </c>
      <c r="D73" s="7" t="s">
        <v>21</v>
      </c>
      <c r="E73" s="7">
        <v>2550</v>
      </c>
      <c r="F73" s="7">
        <v>20</v>
      </c>
      <c r="G73" s="8">
        <f t="shared" si="1"/>
        <v>51000</v>
      </c>
    </row>
    <row r="74" spans="1:7" ht="15.6" x14ac:dyDescent="0.3">
      <c r="A74" s="3">
        <v>44119</v>
      </c>
      <c r="B74" s="4" t="s">
        <v>9</v>
      </c>
      <c r="C74" s="4" t="s">
        <v>13</v>
      </c>
      <c r="D74" s="4" t="s">
        <v>21</v>
      </c>
      <c r="E74" s="4">
        <v>1450</v>
      </c>
      <c r="F74" s="4">
        <v>47</v>
      </c>
      <c r="G74" s="5">
        <f t="shared" si="1"/>
        <v>68150</v>
      </c>
    </row>
    <row r="75" spans="1:7" ht="15.6" x14ac:dyDescent="0.3">
      <c r="A75" s="6">
        <v>44123</v>
      </c>
      <c r="B75" s="7" t="s">
        <v>18</v>
      </c>
      <c r="C75" s="7" t="s">
        <v>17</v>
      </c>
      <c r="D75" s="7" t="s">
        <v>24</v>
      </c>
      <c r="E75" s="7">
        <v>2900</v>
      </c>
      <c r="F75" s="7">
        <v>6</v>
      </c>
      <c r="G75" s="8">
        <f t="shared" si="1"/>
        <v>17400</v>
      </c>
    </row>
    <row r="76" spans="1:7" ht="15.6" x14ac:dyDescent="0.3">
      <c r="A76" s="3">
        <v>44127</v>
      </c>
      <c r="B76" s="4" t="s">
        <v>12</v>
      </c>
      <c r="C76" s="4" t="s">
        <v>13</v>
      </c>
      <c r="D76" s="4" t="s">
        <v>22</v>
      </c>
      <c r="E76" s="4">
        <v>65200</v>
      </c>
      <c r="F76" s="4">
        <v>6</v>
      </c>
      <c r="G76" s="5">
        <f t="shared" si="1"/>
        <v>391200</v>
      </c>
    </row>
    <row r="77" spans="1:7" ht="15.6" x14ac:dyDescent="0.3">
      <c r="A77" s="6">
        <v>44131</v>
      </c>
      <c r="B77" s="7" t="s">
        <v>9</v>
      </c>
      <c r="C77" s="7" t="s">
        <v>16</v>
      </c>
      <c r="D77" s="7" t="s">
        <v>22</v>
      </c>
      <c r="E77" s="7">
        <v>52000</v>
      </c>
      <c r="F77" s="7">
        <v>41</v>
      </c>
      <c r="G77" s="8">
        <f t="shared" si="1"/>
        <v>2132000</v>
      </c>
    </row>
    <row r="78" spans="1:7" ht="15.6" x14ac:dyDescent="0.3">
      <c r="A78" s="3">
        <v>44135</v>
      </c>
      <c r="B78" s="4" t="s">
        <v>10</v>
      </c>
      <c r="C78" s="4" t="s">
        <v>13</v>
      </c>
      <c r="D78" s="4" t="s">
        <v>20</v>
      </c>
      <c r="E78" s="4">
        <v>59000</v>
      </c>
      <c r="F78" s="4">
        <v>29</v>
      </c>
      <c r="G78" s="5">
        <f t="shared" si="1"/>
        <v>1711000</v>
      </c>
    </row>
    <row r="79" spans="1:7" ht="15.6" x14ac:dyDescent="0.3">
      <c r="A79" s="6">
        <v>44139</v>
      </c>
      <c r="B79" s="7" t="s">
        <v>15</v>
      </c>
      <c r="C79" s="7" t="s">
        <v>11</v>
      </c>
      <c r="D79" s="7" t="s">
        <v>22</v>
      </c>
      <c r="E79" s="7">
        <v>7999</v>
      </c>
      <c r="F79" s="7">
        <v>31</v>
      </c>
      <c r="G79" s="8">
        <f t="shared" si="1"/>
        <v>247969</v>
      </c>
    </row>
    <row r="80" spans="1:7" ht="15.6" x14ac:dyDescent="0.3">
      <c r="A80" s="3">
        <v>44143</v>
      </c>
      <c r="B80" s="4" t="s">
        <v>9</v>
      </c>
      <c r="C80" s="4" t="s">
        <v>14</v>
      </c>
      <c r="D80" s="4" t="s">
        <v>20</v>
      </c>
      <c r="E80" s="4">
        <v>45000</v>
      </c>
      <c r="F80" s="4">
        <v>34</v>
      </c>
      <c r="G80" s="5">
        <f t="shared" si="1"/>
        <v>1530000</v>
      </c>
    </row>
    <row r="81" spans="1:7" ht="15.6" x14ac:dyDescent="0.3">
      <c r="A81" s="6">
        <v>44147</v>
      </c>
      <c r="B81" s="7" t="s">
        <v>18</v>
      </c>
      <c r="C81" s="7" t="s">
        <v>17</v>
      </c>
      <c r="D81" s="7" t="s">
        <v>19</v>
      </c>
      <c r="E81" s="7">
        <v>990</v>
      </c>
      <c r="F81" s="7">
        <v>43</v>
      </c>
      <c r="G81" s="8">
        <f t="shared" si="1"/>
        <v>42570</v>
      </c>
    </row>
    <row r="82" spans="1:7" ht="15.6" x14ac:dyDescent="0.3">
      <c r="A82" s="3">
        <v>44151</v>
      </c>
      <c r="B82" s="4" t="s">
        <v>15</v>
      </c>
      <c r="C82" s="4" t="s">
        <v>16</v>
      </c>
      <c r="D82" s="4" t="s">
        <v>19</v>
      </c>
      <c r="E82" s="4">
        <v>11999</v>
      </c>
      <c r="F82" s="4">
        <v>37</v>
      </c>
      <c r="G82" s="5">
        <f t="shared" si="1"/>
        <v>443963</v>
      </c>
    </row>
    <row r="83" spans="1:7" ht="15.6" x14ac:dyDescent="0.3">
      <c r="A83" s="6">
        <v>44155</v>
      </c>
      <c r="B83" s="7" t="s">
        <v>15</v>
      </c>
      <c r="C83" s="7" t="s">
        <v>11</v>
      </c>
      <c r="D83" s="7" t="s">
        <v>19</v>
      </c>
      <c r="E83" s="7">
        <v>960</v>
      </c>
      <c r="F83" s="7">
        <v>7</v>
      </c>
      <c r="G83" s="8">
        <f t="shared" si="1"/>
        <v>6720</v>
      </c>
    </row>
    <row r="84" spans="1:7" ht="15.6" x14ac:dyDescent="0.3">
      <c r="A84" s="3">
        <v>44159</v>
      </c>
      <c r="B84" s="4" t="s">
        <v>9</v>
      </c>
      <c r="C84" s="4" t="s">
        <v>8</v>
      </c>
      <c r="D84" s="4" t="s">
        <v>21</v>
      </c>
      <c r="E84" s="4">
        <v>1450</v>
      </c>
      <c r="F84" s="4">
        <v>19</v>
      </c>
      <c r="G84" s="5">
        <f t="shared" si="1"/>
        <v>27550</v>
      </c>
    </row>
    <row r="85" spans="1:7" ht="15.6" x14ac:dyDescent="0.3">
      <c r="A85" s="6">
        <v>44163</v>
      </c>
      <c r="B85" s="7" t="s">
        <v>10</v>
      </c>
      <c r="C85" s="7" t="s">
        <v>13</v>
      </c>
      <c r="D85" s="7" t="s">
        <v>20</v>
      </c>
      <c r="E85" s="7">
        <v>45000</v>
      </c>
      <c r="F85" s="7">
        <v>47</v>
      </c>
      <c r="G85" s="8">
        <f t="shared" si="1"/>
        <v>2115000</v>
      </c>
    </row>
    <row r="86" spans="1:7" ht="15.6" x14ac:dyDescent="0.3">
      <c r="A86" s="3">
        <v>44167</v>
      </c>
      <c r="B86" s="4" t="s">
        <v>9</v>
      </c>
      <c r="C86" s="4" t="s">
        <v>17</v>
      </c>
      <c r="D86" s="4" t="s">
        <v>20</v>
      </c>
      <c r="E86" s="4">
        <v>1499</v>
      </c>
      <c r="F86" s="4">
        <v>37</v>
      </c>
      <c r="G86" s="5">
        <f t="shared" si="1"/>
        <v>55463</v>
      </c>
    </row>
    <row r="87" spans="1:7" ht="15.6" x14ac:dyDescent="0.3">
      <c r="A87" s="6">
        <v>44171</v>
      </c>
      <c r="B87" s="7" t="s">
        <v>15</v>
      </c>
      <c r="C87" s="7" t="s">
        <v>16</v>
      </c>
      <c r="D87" s="7" t="s">
        <v>21</v>
      </c>
      <c r="E87" s="7">
        <v>79999</v>
      </c>
      <c r="F87" s="7">
        <v>4</v>
      </c>
      <c r="G87" s="8">
        <f t="shared" si="1"/>
        <v>319996</v>
      </c>
    </row>
    <row r="88" spans="1:7" ht="15.6" x14ac:dyDescent="0.3">
      <c r="A88" s="3">
        <v>44175</v>
      </c>
      <c r="B88" s="4" t="s">
        <v>12</v>
      </c>
      <c r="C88" s="4" t="s">
        <v>13</v>
      </c>
      <c r="D88" s="4" t="s">
        <v>22</v>
      </c>
      <c r="E88" s="4">
        <v>999</v>
      </c>
      <c r="F88" s="4">
        <v>45</v>
      </c>
      <c r="G88" s="5">
        <f t="shared" si="1"/>
        <v>44955</v>
      </c>
    </row>
    <row r="89" spans="1:7" ht="15.6" x14ac:dyDescent="0.3">
      <c r="A89" s="6">
        <v>44179</v>
      </c>
      <c r="B89" s="7" t="s">
        <v>9</v>
      </c>
      <c r="C89" s="7" t="s">
        <v>16</v>
      </c>
      <c r="D89" s="7" t="s">
        <v>19</v>
      </c>
      <c r="E89" s="7">
        <v>52000</v>
      </c>
      <c r="F89" s="7">
        <v>15</v>
      </c>
      <c r="G89" s="8">
        <f t="shared" si="1"/>
        <v>780000</v>
      </c>
    </row>
    <row r="90" spans="1:7" ht="15.6" x14ac:dyDescent="0.3">
      <c r="A90" s="3">
        <v>44183</v>
      </c>
      <c r="B90" s="4" t="s">
        <v>10</v>
      </c>
      <c r="C90" s="4" t="s">
        <v>13</v>
      </c>
      <c r="D90" s="4" t="s">
        <v>24</v>
      </c>
      <c r="E90" s="4">
        <v>52000</v>
      </c>
      <c r="F90" s="4">
        <v>39</v>
      </c>
      <c r="G90" s="5">
        <f t="shared" si="1"/>
        <v>2028000</v>
      </c>
    </row>
    <row r="91" spans="1:7" ht="15.6" x14ac:dyDescent="0.3">
      <c r="A91" s="6">
        <v>44187</v>
      </c>
      <c r="B91" s="7" t="s">
        <v>15</v>
      </c>
      <c r="C91" s="7" t="s">
        <v>11</v>
      </c>
      <c r="D91" s="7" t="s">
        <v>21</v>
      </c>
      <c r="E91" s="7">
        <v>960</v>
      </c>
      <c r="F91" s="7">
        <v>33</v>
      </c>
      <c r="G91" s="8">
        <f t="shared" si="1"/>
        <v>31680</v>
      </c>
    </row>
    <row r="92" spans="1:7" ht="15.6" x14ac:dyDescent="0.3">
      <c r="A92" s="3">
        <v>44191</v>
      </c>
      <c r="B92" s="4" t="s">
        <v>15</v>
      </c>
      <c r="C92" s="4" t="s">
        <v>13</v>
      </c>
      <c r="D92" s="4" t="s">
        <v>24</v>
      </c>
      <c r="E92" s="4">
        <v>19500</v>
      </c>
      <c r="F92" s="4">
        <v>45</v>
      </c>
      <c r="G92" s="5">
        <f t="shared" si="1"/>
        <v>877500</v>
      </c>
    </row>
    <row r="93" spans="1:7" ht="15.6" x14ac:dyDescent="0.3">
      <c r="A93" s="6">
        <v>44195</v>
      </c>
      <c r="B93" s="7" t="s">
        <v>15</v>
      </c>
      <c r="C93" s="7" t="s">
        <v>16</v>
      </c>
      <c r="D93" s="7" t="s">
        <v>24</v>
      </c>
      <c r="E93" s="7">
        <v>2999</v>
      </c>
      <c r="F93" s="7">
        <v>33</v>
      </c>
      <c r="G93" s="8">
        <f t="shared" si="1"/>
        <v>98967</v>
      </c>
    </row>
    <row r="94" spans="1:7" ht="15.6" x14ac:dyDescent="0.3">
      <c r="A94" s="3">
        <v>44199</v>
      </c>
      <c r="B94" s="4" t="s">
        <v>9</v>
      </c>
      <c r="C94" s="4" t="s">
        <v>11</v>
      </c>
      <c r="D94" s="4" t="s">
        <v>22</v>
      </c>
      <c r="E94" s="4">
        <v>1250</v>
      </c>
      <c r="F94" s="4">
        <v>14</v>
      </c>
      <c r="G94" s="5">
        <f t="shared" si="1"/>
        <v>17500</v>
      </c>
    </row>
    <row r="95" spans="1:7" ht="15.6" x14ac:dyDescent="0.3">
      <c r="A95" s="6">
        <v>44203</v>
      </c>
      <c r="B95" s="7" t="s">
        <v>9</v>
      </c>
      <c r="C95" s="7" t="s">
        <v>14</v>
      </c>
      <c r="D95" s="7" t="s">
        <v>19</v>
      </c>
      <c r="E95" s="7">
        <v>120</v>
      </c>
      <c r="F95" s="7">
        <v>41</v>
      </c>
      <c r="G95" s="8">
        <f t="shared" si="1"/>
        <v>4920</v>
      </c>
    </row>
    <row r="96" spans="1:7" ht="15.6" x14ac:dyDescent="0.3">
      <c r="A96" s="3">
        <v>44207</v>
      </c>
      <c r="B96" s="4" t="s">
        <v>10</v>
      </c>
      <c r="C96" s="4" t="s">
        <v>8</v>
      </c>
      <c r="D96" s="4" t="s">
        <v>24</v>
      </c>
      <c r="E96" s="4">
        <v>1450</v>
      </c>
      <c r="F96" s="4">
        <v>22</v>
      </c>
      <c r="G96" s="5">
        <f t="shared" si="1"/>
        <v>31900</v>
      </c>
    </row>
    <row r="97" spans="1:7" ht="15.6" x14ac:dyDescent="0.3">
      <c r="A97" s="6">
        <v>44211</v>
      </c>
      <c r="B97" s="7" t="s">
        <v>15</v>
      </c>
      <c r="C97" s="7" t="s">
        <v>16</v>
      </c>
      <c r="D97" s="7" t="s">
        <v>19</v>
      </c>
      <c r="E97" s="7">
        <v>89999</v>
      </c>
      <c r="F97" s="7">
        <v>15</v>
      </c>
      <c r="G97" s="8">
        <f t="shared" si="1"/>
        <v>1349985</v>
      </c>
    </row>
    <row r="98" spans="1:7" ht="15.6" x14ac:dyDescent="0.3">
      <c r="A98" s="3">
        <v>44215</v>
      </c>
      <c r="B98" s="4" t="s">
        <v>18</v>
      </c>
      <c r="C98" s="4" t="s">
        <v>13</v>
      </c>
      <c r="D98" s="4" t="s">
        <v>21</v>
      </c>
      <c r="E98" s="4">
        <v>1999</v>
      </c>
      <c r="F98" s="4">
        <v>48</v>
      </c>
      <c r="G98" s="5">
        <f t="shared" si="1"/>
        <v>95952</v>
      </c>
    </row>
    <row r="99" spans="1:7" ht="15.6" x14ac:dyDescent="0.3">
      <c r="A99" s="6">
        <v>44219</v>
      </c>
      <c r="B99" s="7" t="s">
        <v>18</v>
      </c>
      <c r="C99" s="7" t="s">
        <v>17</v>
      </c>
      <c r="D99" s="7" t="s">
        <v>24</v>
      </c>
      <c r="E99" s="7">
        <v>2900</v>
      </c>
      <c r="F99" s="7">
        <v>49</v>
      </c>
      <c r="G99" s="8">
        <f t="shared" si="1"/>
        <v>142100</v>
      </c>
    </row>
    <row r="100" spans="1:7" ht="15.6" x14ac:dyDescent="0.3">
      <c r="A100" s="3">
        <v>44223</v>
      </c>
      <c r="B100" s="4" t="s">
        <v>15</v>
      </c>
      <c r="C100" s="4" t="s">
        <v>16</v>
      </c>
      <c r="D100" s="4" t="s">
        <v>22</v>
      </c>
      <c r="E100" s="4">
        <v>700</v>
      </c>
      <c r="F100" s="4">
        <v>50</v>
      </c>
      <c r="G100" s="5">
        <f t="shared" si="1"/>
        <v>35000</v>
      </c>
    </row>
    <row r="101" spans="1:7" ht="15.6" x14ac:dyDescent="0.3">
      <c r="A101" s="6">
        <v>44227</v>
      </c>
      <c r="B101" s="7" t="s">
        <v>12</v>
      </c>
      <c r="C101" s="7" t="s">
        <v>14</v>
      </c>
      <c r="D101" s="7" t="s">
        <v>24</v>
      </c>
      <c r="E101" s="7">
        <v>200</v>
      </c>
      <c r="F101" s="7">
        <v>41</v>
      </c>
      <c r="G101" s="8">
        <f t="shared" si="1"/>
        <v>8200</v>
      </c>
    </row>
    <row r="102" spans="1:7" ht="15.6" x14ac:dyDescent="0.3">
      <c r="A102" s="3">
        <v>44231</v>
      </c>
      <c r="B102" s="4" t="s">
        <v>10</v>
      </c>
      <c r="C102" s="4" t="s">
        <v>13</v>
      </c>
      <c r="D102" s="4" t="s">
        <v>20</v>
      </c>
      <c r="E102" s="4">
        <v>49000</v>
      </c>
      <c r="F102" s="4">
        <v>29</v>
      </c>
      <c r="G102" s="5">
        <f t="shared" si="1"/>
        <v>1421000</v>
      </c>
    </row>
    <row r="103" spans="1:7" ht="15.6" x14ac:dyDescent="0.3">
      <c r="A103" s="6">
        <v>44235</v>
      </c>
      <c r="B103" s="7" t="s">
        <v>7</v>
      </c>
      <c r="C103" s="7" t="s">
        <v>8</v>
      </c>
      <c r="D103" s="7" t="s">
        <v>22</v>
      </c>
      <c r="E103" s="7">
        <v>5599</v>
      </c>
      <c r="F103" s="7">
        <v>36</v>
      </c>
      <c r="G103" s="8">
        <f t="shared" si="1"/>
        <v>201564</v>
      </c>
    </row>
    <row r="104" spans="1:7" ht="15.6" x14ac:dyDescent="0.3">
      <c r="A104" s="3">
        <v>44239</v>
      </c>
      <c r="B104" s="4" t="s">
        <v>12</v>
      </c>
      <c r="C104" s="4" t="s">
        <v>14</v>
      </c>
      <c r="D104" s="4" t="s">
        <v>24</v>
      </c>
      <c r="E104" s="4">
        <v>13500</v>
      </c>
      <c r="F104" s="4">
        <v>39</v>
      </c>
      <c r="G104" s="5">
        <f t="shared" si="1"/>
        <v>526500</v>
      </c>
    </row>
    <row r="105" spans="1:7" ht="15.6" x14ac:dyDescent="0.3">
      <c r="A105" s="6">
        <v>44243</v>
      </c>
      <c r="B105" s="7" t="s">
        <v>10</v>
      </c>
      <c r="C105" s="7" t="s">
        <v>16</v>
      </c>
      <c r="D105" s="7" t="s">
        <v>24</v>
      </c>
      <c r="E105" s="7">
        <v>79999</v>
      </c>
      <c r="F105" s="7">
        <v>9</v>
      </c>
      <c r="G105" s="8">
        <f t="shared" si="1"/>
        <v>719991</v>
      </c>
    </row>
    <row r="106" spans="1:7" ht="15.6" x14ac:dyDescent="0.3">
      <c r="A106" s="3">
        <v>44247</v>
      </c>
      <c r="B106" s="4" t="s">
        <v>15</v>
      </c>
      <c r="C106" s="4" t="s">
        <v>13</v>
      </c>
      <c r="D106" s="4" t="s">
        <v>21</v>
      </c>
      <c r="E106" s="4">
        <v>75200</v>
      </c>
      <c r="F106" s="4">
        <v>38</v>
      </c>
      <c r="G106" s="5">
        <f t="shared" si="1"/>
        <v>2857600</v>
      </c>
    </row>
    <row r="107" spans="1:7" ht="15.6" x14ac:dyDescent="0.3">
      <c r="A107" s="6">
        <v>44251</v>
      </c>
      <c r="B107" s="7" t="s">
        <v>15</v>
      </c>
      <c r="C107" s="7" t="s">
        <v>11</v>
      </c>
      <c r="D107" s="7" t="s">
        <v>19</v>
      </c>
      <c r="E107" s="7">
        <v>550</v>
      </c>
      <c r="F107" s="7">
        <v>25</v>
      </c>
      <c r="G107" s="8">
        <f t="shared" si="1"/>
        <v>13750</v>
      </c>
    </row>
    <row r="108" spans="1:7" ht="15.6" x14ac:dyDescent="0.3">
      <c r="A108" s="3">
        <v>44255</v>
      </c>
      <c r="B108" s="4" t="s">
        <v>7</v>
      </c>
      <c r="C108" s="4" t="s">
        <v>8</v>
      </c>
      <c r="D108" s="4" t="s">
        <v>19</v>
      </c>
      <c r="E108" s="4">
        <v>499</v>
      </c>
      <c r="F108" s="4">
        <v>50</v>
      </c>
      <c r="G108" s="5">
        <f t="shared" si="1"/>
        <v>24950</v>
      </c>
    </row>
    <row r="109" spans="1:7" ht="15.6" x14ac:dyDescent="0.3">
      <c r="A109" s="6">
        <v>44259</v>
      </c>
      <c r="B109" s="7" t="s">
        <v>7</v>
      </c>
      <c r="C109" s="7" t="s">
        <v>8</v>
      </c>
      <c r="D109" s="7" t="s">
        <v>20</v>
      </c>
      <c r="E109" s="7">
        <v>5599</v>
      </c>
      <c r="F109" s="7">
        <v>33</v>
      </c>
      <c r="G109" s="8">
        <f t="shared" si="1"/>
        <v>184767</v>
      </c>
    </row>
    <row r="110" spans="1:7" ht="15.6" x14ac:dyDescent="0.3">
      <c r="A110" s="3">
        <v>44263</v>
      </c>
      <c r="B110" s="4" t="s">
        <v>10</v>
      </c>
      <c r="C110" s="4" t="s">
        <v>11</v>
      </c>
      <c r="D110" s="4" t="s">
        <v>21</v>
      </c>
      <c r="E110" s="4">
        <v>1450</v>
      </c>
      <c r="F110" s="4">
        <v>44</v>
      </c>
      <c r="G110" s="5">
        <f t="shared" si="1"/>
        <v>63800</v>
      </c>
    </row>
    <row r="111" spans="1:7" ht="15.6" x14ac:dyDescent="0.3">
      <c r="A111" s="6">
        <v>44267</v>
      </c>
      <c r="B111" s="7" t="s">
        <v>12</v>
      </c>
      <c r="C111" s="7" t="s">
        <v>14</v>
      </c>
      <c r="D111" s="7" t="s">
        <v>19</v>
      </c>
      <c r="E111" s="7">
        <v>999</v>
      </c>
      <c r="F111" s="7">
        <v>31</v>
      </c>
      <c r="G111" s="8">
        <f t="shared" si="1"/>
        <v>30969</v>
      </c>
    </row>
    <row r="112" spans="1:7" ht="15.6" x14ac:dyDescent="0.3">
      <c r="A112" s="3">
        <v>44271</v>
      </c>
      <c r="B112" s="4" t="s">
        <v>12</v>
      </c>
      <c r="C112" s="4" t="s">
        <v>14</v>
      </c>
      <c r="D112" s="4" t="s">
        <v>24</v>
      </c>
      <c r="E112" s="4">
        <v>100</v>
      </c>
      <c r="F112" s="4">
        <v>11</v>
      </c>
      <c r="G112" s="5">
        <f t="shared" si="1"/>
        <v>1100</v>
      </c>
    </row>
    <row r="113" spans="1:7" ht="15.6" x14ac:dyDescent="0.3">
      <c r="A113" s="6">
        <v>44275</v>
      </c>
      <c r="B113" s="7" t="s">
        <v>10</v>
      </c>
      <c r="C113" s="7" t="s">
        <v>8</v>
      </c>
      <c r="D113" s="7" t="s">
        <v>24</v>
      </c>
      <c r="E113" s="7">
        <v>2550</v>
      </c>
      <c r="F113" s="7">
        <v>48</v>
      </c>
      <c r="G113" s="8">
        <f t="shared" si="1"/>
        <v>122400</v>
      </c>
    </row>
    <row r="114" spans="1:7" ht="15.6" x14ac:dyDescent="0.3">
      <c r="A114" s="3">
        <v>44279</v>
      </c>
      <c r="B114" s="4" t="s">
        <v>15</v>
      </c>
      <c r="C114" s="4" t="s">
        <v>16</v>
      </c>
      <c r="D114" s="4" t="s">
        <v>24</v>
      </c>
      <c r="E114" s="4">
        <v>33000</v>
      </c>
      <c r="F114" s="4">
        <v>26</v>
      </c>
      <c r="G114" s="5">
        <f t="shared" si="1"/>
        <v>858000</v>
      </c>
    </row>
    <row r="115" spans="1:7" ht="15.6" x14ac:dyDescent="0.3">
      <c r="A115" s="6">
        <v>44283</v>
      </c>
      <c r="B115" s="7" t="s">
        <v>9</v>
      </c>
      <c r="C115" s="7" t="s">
        <v>8</v>
      </c>
      <c r="D115" s="7" t="s">
        <v>21</v>
      </c>
      <c r="E115" s="7">
        <v>800</v>
      </c>
      <c r="F115" s="7">
        <v>39</v>
      </c>
      <c r="G115" s="8">
        <f t="shared" si="1"/>
        <v>31200</v>
      </c>
    </row>
    <row r="116" spans="1:7" ht="15.6" x14ac:dyDescent="0.3">
      <c r="A116" s="3">
        <v>44287</v>
      </c>
      <c r="B116" s="4" t="s">
        <v>18</v>
      </c>
      <c r="C116" s="4" t="s">
        <v>17</v>
      </c>
      <c r="D116" s="4" t="s">
        <v>21</v>
      </c>
      <c r="E116" s="4">
        <v>990</v>
      </c>
      <c r="F116" s="4">
        <v>9</v>
      </c>
      <c r="G116" s="5">
        <f t="shared" si="1"/>
        <v>8910</v>
      </c>
    </row>
    <row r="117" spans="1:7" ht="15.6" x14ac:dyDescent="0.3">
      <c r="A117" s="6">
        <v>44291</v>
      </c>
      <c r="B117" s="7" t="s">
        <v>7</v>
      </c>
      <c r="C117" s="7" t="s">
        <v>8</v>
      </c>
      <c r="D117" s="7" t="s">
        <v>19</v>
      </c>
      <c r="E117" s="7">
        <v>5599</v>
      </c>
      <c r="F117" s="7">
        <v>41</v>
      </c>
      <c r="G117" s="8">
        <f t="shared" si="1"/>
        <v>229559</v>
      </c>
    </row>
    <row r="118" spans="1:7" ht="15.6" x14ac:dyDescent="0.3">
      <c r="A118" s="3">
        <v>44295</v>
      </c>
      <c r="B118" s="4" t="s">
        <v>15</v>
      </c>
      <c r="C118" s="4" t="s">
        <v>16</v>
      </c>
      <c r="D118" s="4" t="s">
        <v>19</v>
      </c>
      <c r="E118" s="4">
        <v>499</v>
      </c>
      <c r="F118" s="4">
        <v>39</v>
      </c>
      <c r="G118" s="5">
        <f t="shared" si="1"/>
        <v>19461</v>
      </c>
    </row>
    <row r="119" spans="1:7" ht="15.6" x14ac:dyDescent="0.3">
      <c r="A119" s="6">
        <v>44299</v>
      </c>
      <c r="B119" s="7" t="s">
        <v>18</v>
      </c>
      <c r="C119" s="7" t="s">
        <v>17</v>
      </c>
      <c r="D119" s="7" t="s">
        <v>19</v>
      </c>
      <c r="E119" s="7">
        <v>1999</v>
      </c>
      <c r="F119" s="7">
        <v>4</v>
      </c>
      <c r="G119" s="8">
        <f t="shared" si="1"/>
        <v>7996</v>
      </c>
    </row>
    <row r="120" spans="1:7" ht="15.6" x14ac:dyDescent="0.3">
      <c r="A120" s="3">
        <v>44303</v>
      </c>
      <c r="B120" s="4" t="s">
        <v>10</v>
      </c>
      <c r="C120" s="4" t="s">
        <v>14</v>
      </c>
      <c r="D120" s="4" t="s">
        <v>19</v>
      </c>
      <c r="E120" s="4">
        <v>200</v>
      </c>
      <c r="F120" s="4">
        <v>8</v>
      </c>
      <c r="G120" s="5">
        <f t="shared" si="1"/>
        <v>1600</v>
      </c>
    </row>
    <row r="121" spans="1:7" ht="15.6" x14ac:dyDescent="0.3">
      <c r="A121" s="6">
        <v>44307</v>
      </c>
      <c r="B121" s="7" t="s">
        <v>18</v>
      </c>
      <c r="C121" s="7" t="s">
        <v>17</v>
      </c>
      <c r="D121" s="7" t="s">
        <v>21</v>
      </c>
      <c r="E121" s="7">
        <v>1499</v>
      </c>
      <c r="F121" s="7">
        <v>27</v>
      </c>
      <c r="G121" s="8">
        <f t="shared" si="1"/>
        <v>40473</v>
      </c>
    </row>
    <row r="122" spans="1:7" ht="15.6" x14ac:dyDescent="0.3">
      <c r="A122" s="3">
        <v>44311</v>
      </c>
      <c r="B122" s="4" t="s">
        <v>12</v>
      </c>
      <c r="C122" s="4" t="s">
        <v>14</v>
      </c>
      <c r="D122" s="4" t="s">
        <v>22</v>
      </c>
      <c r="E122" s="4">
        <v>120</v>
      </c>
      <c r="F122" s="4">
        <v>10</v>
      </c>
      <c r="G122" s="5">
        <f t="shared" si="1"/>
        <v>1200</v>
      </c>
    </row>
    <row r="123" spans="1:7" ht="15.6" x14ac:dyDescent="0.3">
      <c r="A123" s="6">
        <v>44315</v>
      </c>
      <c r="B123" s="7" t="s">
        <v>9</v>
      </c>
      <c r="C123" s="7" t="s">
        <v>16</v>
      </c>
      <c r="D123" s="7" t="s">
        <v>22</v>
      </c>
      <c r="E123" s="7">
        <v>11999</v>
      </c>
      <c r="F123" s="7">
        <v>17</v>
      </c>
      <c r="G123" s="8">
        <f t="shared" si="1"/>
        <v>203983</v>
      </c>
    </row>
    <row r="124" spans="1:7" ht="15.6" x14ac:dyDescent="0.3">
      <c r="A124" s="3">
        <v>44319</v>
      </c>
      <c r="B124" s="4" t="s">
        <v>9</v>
      </c>
      <c r="C124" s="4" t="s">
        <v>16</v>
      </c>
      <c r="D124" s="4" t="s">
        <v>20</v>
      </c>
      <c r="E124" s="4">
        <v>999</v>
      </c>
      <c r="F124" s="4">
        <v>27</v>
      </c>
      <c r="G124" s="5">
        <f t="shared" si="1"/>
        <v>26973</v>
      </c>
    </row>
    <row r="125" spans="1:7" ht="15.6" x14ac:dyDescent="0.3">
      <c r="A125" s="6">
        <v>44323</v>
      </c>
      <c r="B125" s="7" t="s">
        <v>10</v>
      </c>
      <c r="C125" s="7" t="s">
        <v>16</v>
      </c>
      <c r="D125" s="7" t="s">
        <v>21</v>
      </c>
      <c r="E125" s="7">
        <v>2999</v>
      </c>
      <c r="F125" s="7">
        <v>43</v>
      </c>
      <c r="G125" s="8">
        <f t="shared" si="1"/>
        <v>128957</v>
      </c>
    </row>
    <row r="126" spans="1:7" ht="15.6" x14ac:dyDescent="0.3">
      <c r="A126" s="3">
        <v>44327</v>
      </c>
      <c r="B126" s="4" t="s">
        <v>12</v>
      </c>
      <c r="C126" s="4" t="s">
        <v>13</v>
      </c>
      <c r="D126" s="4" t="s">
        <v>20</v>
      </c>
      <c r="E126" s="4">
        <v>47800</v>
      </c>
      <c r="F126" s="4">
        <v>9</v>
      </c>
      <c r="G126" s="5">
        <f t="shared" si="1"/>
        <v>430200</v>
      </c>
    </row>
    <row r="127" spans="1:7" ht="15.6" x14ac:dyDescent="0.3">
      <c r="A127" s="6">
        <v>44331</v>
      </c>
      <c r="B127" s="7" t="s">
        <v>15</v>
      </c>
      <c r="C127" s="7" t="s">
        <v>13</v>
      </c>
      <c r="D127" s="7" t="s">
        <v>19</v>
      </c>
      <c r="E127" s="7">
        <v>22000</v>
      </c>
      <c r="F127" s="7">
        <v>42</v>
      </c>
      <c r="G127" s="8">
        <f t="shared" si="1"/>
        <v>924000</v>
      </c>
    </row>
    <row r="128" spans="1:7" ht="15.6" x14ac:dyDescent="0.3">
      <c r="A128" s="3">
        <v>44335</v>
      </c>
      <c r="B128" s="4" t="s">
        <v>15</v>
      </c>
      <c r="C128" s="4" t="s">
        <v>11</v>
      </c>
      <c r="D128" s="4" t="s">
        <v>20</v>
      </c>
      <c r="E128" s="4">
        <v>1250</v>
      </c>
      <c r="F128" s="4">
        <v>6</v>
      </c>
      <c r="G128" s="5">
        <f t="shared" si="1"/>
        <v>7500</v>
      </c>
    </row>
    <row r="129" spans="1:7" ht="15.6" x14ac:dyDescent="0.3">
      <c r="A129" s="6">
        <v>44339</v>
      </c>
      <c r="B129" s="7" t="s">
        <v>12</v>
      </c>
      <c r="C129" s="7" t="s">
        <v>14</v>
      </c>
      <c r="D129" s="7" t="s">
        <v>21</v>
      </c>
      <c r="E129" s="7">
        <v>999</v>
      </c>
      <c r="F129" s="7">
        <v>28</v>
      </c>
      <c r="G129" s="8">
        <f t="shared" si="1"/>
        <v>27972</v>
      </c>
    </row>
    <row r="130" spans="1:7" ht="15.6" x14ac:dyDescent="0.3">
      <c r="A130" s="3">
        <v>44343</v>
      </c>
      <c r="B130" s="4" t="s">
        <v>15</v>
      </c>
      <c r="C130" s="4" t="s">
        <v>11</v>
      </c>
      <c r="D130" s="4" t="s">
        <v>22</v>
      </c>
      <c r="E130" s="4">
        <v>1450</v>
      </c>
      <c r="F130" s="4">
        <v>13</v>
      </c>
      <c r="G130" s="5">
        <f t="shared" si="1"/>
        <v>18850</v>
      </c>
    </row>
    <row r="131" spans="1:7" ht="15.6" x14ac:dyDescent="0.3">
      <c r="A131" s="6">
        <v>44347</v>
      </c>
      <c r="B131" s="7" t="s">
        <v>15</v>
      </c>
      <c r="C131" s="7" t="s">
        <v>11</v>
      </c>
      <c r="D131" s="7" t="s">
        <v>22</v>
      </c>
      <c r="E131" s="7">
        <v>23999</v>
      </c>
      <c r="F131" s="7">
        <v>8</v>
      </c>
      <c r="G131" s="8">
        <f t="shared" ref="G131:G194" si="2">E131*F131</f>
        <v>191992</v>
      </c>
    </row>
    <row r="132" spans="1:7" ht="15.6" x14ac:dyDescent="0.3">
      <c r="A132" s="3">
        <v>44351</v>
      </c>
      <c r="B132" s="4" t="s">
        <v>9</v>
      </c>
      <c r="C132" s="4" t="s">
        <v>13</v>
      </c>
      <c r="D132" s="4" t="s">
        <v>22</v>
      </c>
      <c r="E132" s="4">
        <v>92000</v>
      </c>
      <c r="F132" s="4">
        <v>7</v>
      </c>
      <c r="G132" s="5">
        <f t="shared" si="2"/>
        <v>644000</v>
      </c>
    </row>
    <row r="133" spans="1:7" ht="15.6" x14ac:dyDescent="0.3">
      <c r="A133" s="6">
        <v>44355</v>
      </c>
      <c r="B133" s="7" t="s">
        <v>18</v>
      </c>
      <c r="C133" s="7" t="s">
        <v>17</v>
      </c>
      <c r="D133" s="7" t="s">
        <v>21</v>
      </c>
      <c r="E133" s="7">
        <v>699</v>
      </c>
      <c r="F133" s="7">
        <v>45</v>
      </c>
      <c r="G133" s="8">
        <f t="shared" si="2"/>
        <v>31455</v>
      </c>
    </row>
    <row r="134" spans="1:7" ht="15.6" x14ac:dyDescent="0.3">
      <c r="A134" s="3">
        <v>44359</v>
      </c>
      <c r="B134" s="4" t="s">
        <v>7</v>
      </c>
      <c r="C134" s="4" t="s">
        <v>8</v>
      </c>
      <c r="D134" s="4" t="s">
        <v>19</v>
      </c>
      <c r="E134" s="4">
        <v>2550</v>
      </c>
      <c r="F134" s="4">
        <v>22</v>
      </c>
      <c r="G134" s="5">
        <f t="shared" si="2"/>
        <v>56100</v>
      </c>
    </row>
    <row r="135" spans="1:7" ht="15.6" x14ac:dyDescent="0.3">
      <c r="A135" s="6">
        <v>44363</v>
      </c>
      <c r="B135" s="7" t="s">
        <v>10</v>
      </c>
      <c r="C135" s="7" t="s">
        <v>16</v>
      </c>
      <c r="D135" s="7" t="s">
        <v>22</v>
      </c>
      <c r="E135" s="7">
        <v>22000</v>
      </c>
      <c r="F135" s="7">
        <v>4</v>
      </c>
      <c r="G135" s="8">
        <f t="shared" si="2"/>
        <v>88000</v>
      </c>
    </row>
    <row r="136" spans="1:7" ht="15.6" x14ac:dyDescent="0.3">
      <c r="A136" s="3">
        <v>44367</v>
      </c>
      <c r="B136" s="4" t="s">
        <v>15</v>
      </c>
      <c r="C136" s="4" t="s">
        <v>16</v>
      </c>
      <c r="D136" s="4" t="s">
        <v>19</v>
      </c>
      <c r="E136" s="4">
        <v>22000</v>
      </c>
      <c r="F136" s="4">
        <v>10</v>
      </c>
      <c r="G136" s="5">
        <f t="shared" si="2"/>
        <v>220000</v>
      </c>
    </row>
    <row r="137" spans="1:7" ht="15.6" x14ac:dyDescent="0.3">
      <c r="A137" s="6">
        <v>44371</v>
      </c>
      <c r="B137" s="7" t="s">
        <v>9</v>
      </c>
      <c r="C137" s="7" t="s">
        <v>17</v>
      </c>
      <c r="D137" s="7" t="s">
        <v>21</v>
      </c>
      <c r="E137" s="7">
        <v>1499</v>
      </c>
      <c r="F137" s="7">
        <v>16</v>
      </c>
      <c r="G137" s="8">
        <f t="shared" si="2"/>
        <v>23984</v>
      </c>
    </row>
    <row r="138" spans="1:7" ht="15.6" x14ac:dyDescent="0.3">
      <c r="A138" s="3">
        <v>44375</v>
      </c>
      <c r="B138" s="4" t="s">
        <v>12</v>
      </c>
      <c r="C138" s="4" t="s">
        <v>14</v>
      </c>
      <c r="D138" s="4" t="s">
        <v>22</v>
      </c>
      <c r="E138" s="4">
        <v>120</v>
      </c>
      <c r="F138" s="4">
        <v>22</v>
      </c>
      <c r="G138" s="5">
        <f t="shared" si="2"/>
        <v>2640</v>
      </c>
    </row>
    <row r="139" spans="1:7" ht="15.6" x14ac:dyDescent="0.3">
      <c r="A139" s="6">
        <v>44379</v>
      </c>
      <c r="B139" s="7" t="s">
        <v>7</v>
      </c>
      <c r="C139" s="7" t="s">
        <v>8</v>
      </c>
      <c r="D139" s="7" t="s">
        <v>20</v>
      </c>
      <c r="E139" s="7">
        <v>1450</v>
      </c>
      <c r="F139" s="7">
        <v>20</v>
      </c>
      <c r="G139" s="8">
        <f t="shared" si="2"/>
        <v>29000</v>
      </c>
    </row>
    <row r="140" spans="1:7" ht="15.6" x14ac:dyDescent="0.3">
      <c r="A140" s="3">
        <v>44383</v>
      </c>
      <c r="B140" s="4" t="s">
        <v>18</v>
      </c>
      <c r="C140" s="4" t="s">
        <v>17</v>
      </c>
      <c r="D140" s="4" t="s">
        <v>21</v>
      </c>
      <c r="E140" s="4">
        <v>1999</v>
      </c>
      <c r="F140" s="4">
        <v>23</v>
      </c>
      <c r="G140" s="5">
        <f t="shared" si="2"/>
        <v>45977</v>
      </c>
    </row>
    <row r="141" spans="1:7" ht="15.6" x14ac:dyDescent="0.3">
      <c r="A141" s="6">
        <v>44387</v>
      </c>
      <c r="B141" s="7" t="s">
        <v>9</v>
      </c>
      <c r="C141" s="7" t="s">
        <v>8</v>
      </c>
      <c r="D141" s="7" t="s">
        <v>23</v>
      </c>
      <c r="E141" s="7">
        <v>800</v>
      </c>
      <c r="F141" s="7">
        <v>43</v>
      </c>
      <c r="G141" s="8">
        <f t="shared" si="2"/>
        <v>34400</v>
      </c>
    </row>
    <row r="142" spans="1:7" ht="15.6" x14ac:dyDescent="0.3">
      <c r="A142" s="3">
        <v>44391</v>
      </c>
      <c r="B142" s="4" t="s">
        <v>12</v>
      </c>
      <c r="C142" s="4" t="s">
        <v>14</v>
      </c>
      <c r="D142" s="4" t="s">
        <v>22</v>
      </c>
      <c r="E142" s="4">
        <v>100</v>
      </c>
      <c r="F142" s="4">
        <v>41</v>
      </c>
      <c r="G142" s="5">
        <f t="shared" si="2"/>
        <v>4100</v>
      </c>
    </row>
    <row r="143" spans="1:7" ht="15.6" x14ac:dyDescent="0.3">
      <c r="A143" s="6">
        <v>44395</v>
      </c>
      <c r="B143" s="7" t="s">
        <v>7</v>
      </c>
      <c r="C143" s="7" t="s">
        <v>13</v>
      </c>
      <c r="D143" s="7" t="s">
        <v>22</v>
      </c>
      <c r="E143" s="7">
        <v>13999</v>
      </c>
      <c r="F143" s="7">
        <v>37</v>
      </c>
      <c r="G143" s="8">
        <f t="shared" si="2"/>
        <v>517963</v>
      </c>
    </row>
    <row r="144" spans="1:7" ht="15.6" x14ac:dyDescent="0.3">
      <c r="A144" s="3">
        <v>44399</v>
      </c>
      <c r="B144" s="4" t="s">
        <v>10</v>
      </c>
      <c r="C144" s="4" t="s">
        <v>16</v>
      </c>
      <c r="D144" s="4" t="s">
        <v>24</v>
      </c>
      <c r="E144" s="4">
        <v>22000</v>
      </c>
      <c r="F144" s="4">
        <v>45</v>
      </c>
      <c r="G144" s="5">
        <f t="shared" si="2"/>
        <v>990000</v>
      </c>
    </row>
    <row r="145" spans="1:7" ht="15.6" x14ac:dyDescent="0.3">
      <c r="A145" s="6">
        <v>44403</v>
      </c>
      <c r="B145" s="7" t="s">
        <v>15</v>
      </c>
      <c r="C145" s="7" t="s">
        <v>16</v>
      </c>
      <c r="D145" s="7" t="s">
        <v>23</v>
      </c>
      <c r="E145" s="7">
        <v>89999</v>
      </c>
      <c r="F145" s="7">
        <v>15</v>
      </c>
      <c r="G145" s="8">
        <f t="shared" si="2"/>
        <v>1349985</v>
      </c>
    </row>
    <row r="146" spans="1:7" ht="15.6" x14ac:dyDescent="0.3">
      <c r="A146" s="3">
        <v>44407</v>
      </c>
      <c r="B146" s="4" t="s">
        <v>7</v>
      </c>
      <c r="C146" s="4" t="s">
        <v>8</v>
      </c>
      <c r="D146" s="4" t="s">
        <v>24</v>
      </c>
      <c r="E146" s="4">
        <v>13999</v>
      </c>
      <c r="F146" s="4">
        <v>22</v>
      </c>
      <c r="G146" s="5">
        <f t="shared" si="2"/>
        <v>307978</v>
      </c>
    </row>
    <row r="147" spans="1:7" ht="15.6" x14ac:dyDescent="0.3">
      <c r="A147" s="6">
        <v>44411</v>
      </c>
      <c r="B147" s="7" t="s">
        <v>9</v>
      </c>
      <c r="C147" s="7" t="s">
        <v>17</v>
      </c>
      <c r="D147" s="7" t="s">
        <v>21</v>
      </c>
      <c r="E147" s="7">
        <v>2900</v>
      </c>
      <c r="F147" s="7">
        <v>20</v>
      </c>
      <c r="G147" s="8">
        <f t="shared" si="2"/>
        <v>58000</v>
      </c>
    </row>
    <row r="148" spans="1:7" ht="15.6" x14ac:dyDescent="0.3">
      <c r="A148" s="3">
        <v>44415</v>
      </c>
      <c r="B148" s="4" t="s">
        <v>15</v>
      </c>
      <c r="C148" s="4" t="s">
        <v>16</v>
      </c>
      <c r="D148" s="4" t="s">
        <v>24</v>
      </c>
      <c r="E148" s="4">
        <v>33000</v>
      </c>
      <c r="F148" s="4">
        <v>16</v>
      </c>
      <c r="G148" s="5">
        <f t="shared" si="2"/>
        <v>528000</v>
      </c>
    </row>
    <row r="149" spans="1:7" ht="15.6" x14ac:dyDescent="0.3">
      <c r="A149" s="6">
        <v>44419</v>
      </c>
      <c r="B149" s="7" t="s">
        <v>9</v>
      </c>
      <c r="C149" s="7" t="s">
        <v>16</v>
      </c>
      <c r="D149" s="7" t="s">
        <v>20</v>
      </c>
      <c r="E149" s="7">
        <v>22000</v>
      </c>
      <c r="F149" s="7">
        <v>17</v>
      </c>
      <c r="G149" s="8">
        <f t="shared" si="2"/>
        <v>374000</v>
      </c>
    </row>
    <row r="150" spans="1:7" ht="15.6" x14ac:dyDescent="0.3">
      <c r="A150" s="3">
        <v>44423</v>
      </c>
      <c r="B150" s="4" t="s">
        <v>9</v>
      </c>
      <c r="C150" s="4" t="s">
        <v>17</v>
      </c>
      <c r="D150" s="4" t="s">
        <v>20</v>
      </c>
      <c r="E150" s="4">
        <v>45000</v>
      </c>
      <c r="F150" s="4">
        <v>50</v>
      </c>
      <c r="G150" s="5">
        <f t="shared" si="2"/>
        <v>2250000</v>
      </c>
    </row>
    <row r="151" spans="1:7" ht="15.6" x14ac:dyDescent="0.3">
      <c r="A151" s="6">
        <v>44427</v>
      </c>
      <c r="B151" s="7" t="s">
        <v>15</v>
      </c>
      <c r="C151" s="7" t="s">
        <v>13</v>
      </c>
      <c r="D151" s="7" t="s">
        <v>21</v>
      </c>
      <c r="E151" s="7">
        <v>499</v>
      </c>
      <c r="F151" s="7">
        <v>4</v>
      </c>
      <c r="G151" s="8">
        <f t="shared" si="2"/>
        <v>1996</v>
      </c>
    </row>
    <row r="152" spans="1:7" ht="15.6" x14ac:dyDescent="0.3">
      <c r="A152" s="3">
        <v>44431</v>
      </c>
      <c r="B152" s="4" t="s">
        <v>18</v>
      </c>
      <c r="C152" s="4" t="s">
        <v>17</v>
      </c>
      <c r="D152" s="4" t="s">
        <v>24</v>
      </c>
      <c r="E152" s="4">
        <v>590</v>
      </c>
      <c r="F152" s="4">
        <v>43</v>
      </c>
      <c r="G152" s="5">
        <f t="shared" si="2"/>
        <v>25370</v>
      </c>
    </row>
    <row r="153" spans="1:7" ht="15.6" x14ac:dyDescent="0.3">
      <c r="A153" s="6">
        <v>44435</v>
      </c>
      <c r="B153" s="7" t="s">
        <v>10</v>
      </c>
      <c r="C153" s="7" t="s">
        <v>17</v>
      </c>
      <c r="D153" s="7" t="s">
        <v>20</v>
      </c>
      <c r="E153" s="7">
        <v>590</v>
      </c>
      <c r="F153" s="7">
        <v>42</v>
      </c>
      <c r="G153" s="8">
        <f t="shared" si="2"/>
        <v>24780</v>
      </c>
    </row>
    <row r="154" spans="1:7" ht="15.6" x14ac:dyDescent="0.3">
      <c r="A154" s="3">
        <v>44439</v>
      </c>
      <c r="B154" s="4" t="s">
        <v>12</v>
      </c>
      <c r="C154" s="4" t="s">
        <v>14</v>
      </c>
      <c r="D154" s="4" t="s">
        <v>19</v>
      </c>
      <c r="E154" s="4">
        <v>12000</v>
      </c>
      <c r="F154" s="4">
        <v>9</v>
      </c>
      <c r="G154" s="5">
        <f t="shared" si="2"/>
        <v>108000</v>
      </c>
    </row>
    <row r="155" spans="1:7" ht="15.6" x14ac:dyDescent="0.3">
      <c r="A155" s="6">
        <v>44443</v>
      </c>
      <c r="B155" s="7" t="s">
        <v>15</v>
      </c>
      <c r="C155" s="7" t="s">
        <v>16</v>
      </c>
      <c r="D155" s="7" t="s">
        <v>23</v>
      </c>
      <c r="E155" s="7">
        <v>52000</v>
      </c>
      <c r="F155" s="7">
        <v>40</v>
      </c>
      <c r="G155" s="8">
        <f t="shared" si="2"/>
        <v>2080000</v>
      </c>
    </row>
    <row r="156" spans="1:7" ht="15.6" x14ac:dyDescent="0.3">
      <c r="A156" s="3">
        <v>44447</v>
      </c>
      <c r="B156" s="4" t="s">
        <v>15</v>
      </c>
      <c r="C156" s="4" t="s">
        <v>11</v>
      </c>
      <c r="D156" s="4" t="s">
        <v>24</v>
      </c>
      <c r="E156" s="4">
        <v>7999</v>
      </c>
      <c r="F156" s="4">
        <v>14</v>
      </c>
      <c r="G156" s="5">
        <f t="shared" si="2"/>
        <v>111986</v>
      </c>
    </row>
    <row r="157" spans="1:7" ht="15.6" x14ac:dyDescent="0.3">
      <c r="A157" s="6">
        <v>44451</v>
      </c>
      <c r="B157" s="7" t="s">
        <v>9</v>
      </c>
      <c r="C157" s="7" t="s">
        <v>11</v>
      </c>
      <c r="D157" s="7" t="s">
        <v>22</v>
      </c>
      <c r="E157" s="7">
        <v>5000</v>
      </c>
      <c r="F157" s="7">
        <v>9</v>
      </c>
      <c r="G157" s="8">
        <f t="shared" si="2"/>
        <v>45000</v>
      </c>
    </row>
    <row r="158" spans="1:7" ht="15.6" x14ac:dyDescent="0.3">
      <c r="A158" s="3">
        <v>44455</v>
      </c>
      <c r="B158" s="4" t="s">
        <v>15</v>
      </c>
      <c r="C158" s="4" t="s">
        <v>16</v>
      </c>
      <c r="D158" s="4" t="s">
        <v>24</v>
      </c>
      <c r="E158" s="4">
        <v>79999</v>
      </c>
      <c r="F158" s="4">
        <v>10</v>
      </c>
      <c r="G158" s="5">
        <f t="shared" si="2"/>
        <v>799990</v>
      </c>
    </row>
    <row r="159" spans="1:7" ht="15.6" x14ac:dyDescent="0.3">
      <c r="A159" s="6">
        <v>44459</v>
      </c>
      <c r="B159" s="7" t="s">
        <v>18</v>
      </c>
      <c r="C159" s="7" t="s">
        <v>13</v>
      </c>
      <c r="D159" s="7" t="s">
        <v>21</v>
      </c>
      <c r="E159" s="7">
        <v>1999</v>
      </c>
      <c r="F159" s="7">
        <v>37</v>
      </c>
      <c r="G159" s="8">
        <f t="shared" si="2"/>
        <v>73963</v>
      </c>
    </row>
    <row r="160" spans="1:7" ht="15.6" x14ac:dyDescent="0.3">
      <c r="A160" s="3">
        <v>44463</v>
      </c>
      <c r="B160" s="4" t="s">
        <v>15</v>
      </c>
      <c r="C160" s="4" t="s">
        <v>16</v>
      </c>
      <c r="D160" s="4" t="s">
        <v>24</v>
      </c>
      <c r="E160" s="4">
        <v>89999</v>
      </c>
      <c r="F160" s="4">
        <v>29</v>
      </c>
      <c r="G160" s="5">
        <f t="shared" si="2"/>
        <v>2609971</v>
      </c>
    </row>
    <row r="161" spans="1:7" ht="15.6" x14ac:dyDescent="0.3">
      <c r="A161" s="6">
        <v>44467</v>
      </c>
      <c r="B161" s="7" t="s">
        <v>10</v>
      </c>
      <c r="C161" s="7" t="s">
        <v>16</v>
      </c>
      <c r="D161" s="7" t="s">
        <v>19</v>
      </c>
      <c r="E161" s="7">
        <v>799</v>
      </c>
      <c r="F161" s="7">
        <v>44</v>
      </c>
      <c r="G161" s="8">
        <f t="shared" si="2"/>
        <v>35156</v>
      </c>
    </row>
    <row r="162" spans="1:7" ht="15.6" x14ac:dyDescent="0.3">
      <c r="A162" s="3">
        <v>44471</v>
      </c>
      <c r="B162" s="4" t="s">
        <v>15</v>
      </c>
      <c r="C162" s="4" t="s">
        <v>16</v>
      </c>
      <c r="D162" s="4" t="s">
        <v>20</v>
      </c>
      <c r="E162" s="4">
        <v>3990</v>
      </c>
      <c r="F162" s="4">
        <v>31</v>
      </c>
      <c r="G162" s="5">
        <f t="shared" si="2"/>
        <v>123690</v>
      </c>
    </row>
    <row r="163" spans="1:7" ht="15.6" x14ac:dyDescent="0.3">
      <c r="A163" s="6">
        <v>44475</v>
      </c>
      <c r="B163" s="7" t="s">
        <v>9</v>
      </c>
      <c r="C163" s="7" t="s">
        <v>16</v>
      </c>
      <c r="D163" s="7" t="s">
        <v>21</v>
      </c>
      <c r="E163" s="7">
        <v>52000</v>
      </c>
      <c r="F163" s="7">
        <v>29</v>
      </c>
      <c r="G163" s="8">
        <f t="shared" si="2"/>
        <v>1508000</v>
      </c>
    </row>
    <row r="164" spans="1:7" ht="15.6" x14ac:dyDescent="0.3">
      <c r="A164" s="3">
        <v>44479</v>
      </c>
      <c r="B164" s="4" t="s">
        <v>9</v>
      </c>
      <c r="C164" s="4" t="s">
        <v>8</v>
      </c>
      <c r="D164" s="4" t="s">
        <v>24</v>
      </c>
      <c r="E164" s="4">
        <v>13999</v>
      </c>
      <c r="F164" s="4">
        <v>34</v>
      </c>
      <c r="G164" s="5">
        <f t="shared" si="2"/>
        <v>475966</v>
      </c>
    </row>
    <row r="165" spans="1:7" ht="15.6" x14ac:dyDescent="0.3">
      <c r="A165" s="6">
        <v>44483</v>
      </c>
      <c r="B165" s="7" t="s">
        <v>12</v>
      </c>
      <c r="C165" s="7" t="s">
        <v>14</v>
      </c>
      <c r="D165" s="7" t="s">
        <v>21</v>
      </c>
      <c r="E165" s="7">
        <v>14500</v>
      </c>
      <c r="F165" s="7">
        <v>29</v>
      </c>
      <c r="G165" s="8">
        <f t="shared" si="2"/>
        <v>420500</v>
      </c>
    </row>
    <row r="166" spans="1:7" ht="15.6" x14ac:dyDescent="0.3">
      <c r="A166" s="3">
        <v>44487</v>
      </c>
      <c r="B166" s="4" t="s">
        <v>15</v>
      </c>
      <c r="C166" s="4" t="s">
        <v>11</v>
      </c>
      <c r="D166" s="4" t="s">
        <v>23</v>
      </c>
      <c r="E166" s="4">
        <v>23999</v>
      </c>
      <c r="F166" s="4">
        <v>25</v>
      </c>
      <c r="G166" s="5">
        <f t="shared" si="2"/>
        <v>599975</v>
      </c>
    </row>
    <row r="167" spans="1:7" ht="15.6" x14ac:dyDescent="0.3">
      <c r="A167" s="6">
        <v>44491</v>
      </c>
      <c r="B167" s="7" t="s">
        <v>15</v>
      </c>
      <c r="C167" s="7" t="s">
        <v>11</v>
      </c>
      <c r="D167" s="7" t="s">
        <v>24</v>
      </c>
      <c r="E167" s="7">
        <v>1250</v>
      </c>
      <c r="F167" s="7">
        <v>31</v>
      </c>
      <c r="G167" s="8">
        <f t="shared" si="2"/>
        <v>38750</v>
      </c>
    </row>
    <row r="168" spans="1:7" ht="15.6" x14ac:dyDescent="0.3">
      <c r="A168" s="3">
        <v>44495</v>
      </c>
      <c r="B168" s="4" t="s">
        <v>18</v>
      </c>
      <c r="C168" s="4" t="s">
        <v>13</v>
      </c>
      <c r="D168" s="4" t="s">
        <v>24</v>
      </c>
      <c r="E168" s="4">
        <v>35600</v>
      </c>
      <c r="F168" s="4">
        <v>16</v>
      </c>
      <c r="G168" s="5">
        <f t="shared" si="2"/>
        <v>569600</v>
      </c>
    </row>
    <row r="169" spans="1:7" ht="15.6" x14ac:dyDescent="0.3">
      <c r="A169" s="6">
        <v>44499</v>
      </c>
      <c r="B169" s="7" t="s">
        <v>12</v>
      </c>
      <c r="C169" s="7" t="s">
        <v>14</v>
      </c>
      <c r="D169" s="7" t="s">
        <v>24</v>
      </c>
      <c r="E169" s="7">
        <v>65000</v>
      </c>
      <c r="F169" s="7">
        <v>48</v>
      </c>
      <c r="G169" s="8">
        <f t="shared" si="2"/>
        <v>3120000</v>
      </c>
    </row>
    <row r="170" spans="1:7" ht="15.6" x14ac:dyDescent="0.3">
      <c r="A170" s="3">
        <v>44503</v>
      </c>
      <c r="B170" s="4" t="s">
        <v>10</v>
      </c>
      <c r="C170" s="4" t="s">
        <v>14</v>
      </c>
      <c r="D170" s="4" t="s">
        <v>23</v>
      </c>
      <c r="E170" s="4">
        <v>12000</v>
      </c>
      <c r="F170" s="4">
        <v>22</v>
      </c>
      <c r="G170" s="5">
        <f t="shared" si="2"/>
        <v>264000</v>
      </c>
    </row>
    <row r="171" spans="1:7" ht="15.6" x14ac:dyDescent="0.3">
      <c r="A171" s="6">
        <v>44507</v>
      </c>
      <c r="B171" s="7" t="s">
        <v>18</v>
      </c>
      <c r="C171" s="7" t="s">
        <v>17</v>
      </c>
      <c r="D171" s="7" t="s">
        <v>24</v>
      </c>
      <c r="E171" s="7">
        <v>699</v>
      </c>
      <c r="F171" s="7">
        <v>6</v>
      </c>
      <c r="G171" s="8">
        <f t="shared" si="2"/>
        <v>4194</v>
      </c>
    </row>
    <row r="172" spans="1:7" ht="15.6" x14ac:dyDescent="0.3">
      <c r="A172" s="3">
        <v>44511</v>
      </c>
      <c r="B172" s="4" t="s">
        <v>18</v>
      </c>
      <c r="C172" s="4" t="s">
        <v>13</v>
      </c>
      <c r="D172" s="4" t="s">
        <v>21</v>
      </c>
      <c r="E172" s="4">
        <v>990</v>
      </c>
      <c r="F172" s="4">
        <v>12</v>
      </c>
      <c r="G172" s="5">
        <f t="shared" si="2"/>
        <v>11880</v>
      </c>
    </row>
    <row r="173" spans="1:7" ht="15.6" x14ac:dyDescent="0.3">
      <c r="A173" s="6">
        <v>44515</v>
      </c>
      <c r="B173" s="7" t="s">
        <v>18</v>
      </c>
      <c r="C173" s="7" t="s">
        <v>17</v>
      </c>
      <c r="D173" s="7" t="s">
        <v>19</v>
      </c>
      <c r="E173" s="7">
        <v>450</v>
      </c>
      <c r="F173" s="7">
        <v>44</v>
      </c>
      <c r="G173" s="8">
        <f t="shared" si="2"/>
        <v>19800</v>
      </c>
    </row>
    <row r="174" spans="1:7" ht="15.6" x14ac:dyDescent="0.3">
      <c r="A174" s="3">
        <v>44519</v>
      </c>
      <c r="B174" s="4" t="s">
        <v>18</v>
      </c>
      <c r="C174" s="4" t="s">
        <v>13</v>
      </c>
      <c r="D174" s="4" t="s">
        <v>19</v>
      </c>
      <c r="E174" s="4">
        <v>1499</v>
      </c>
      <c r="F174" s="4">
        <v>15</v>
      </c>
      <c r="G174" s="5">
        <f t="shared" si="2"/>
        <v>22485</v>
      </c>
    </row>
    <row r="175" spans="1:7" ht="15.6" x14ac:dyDescent="0.3">
      <c r="A175" s="6">
        <v>44523</v>
      </c>
      <c r="B175" s="7" t="s">
        <v>7</v>
      </c>
      <c r="C175" s="7" t="s">
        <v>8</v>
      </c>
      <c r="D175" s="7" t="s">
        <v>22</v>
      </c>
      <c r="E175" s="7">
        <v>499</v>
      </c>
      <c r="F175" s="7">
        <v>26</v>
      </c>
      <c r="G175" s="8">
        <f t="shared" si="2"/>
        <v>12974</v>
      </c>
    </row>
    <row r="176" spans="1:7" ht="15.6" x14ac:dyDescent="0.3">
      <c r="A176" s="3">
        <v>44527</v>
      </c>
      <c r="B176" s="4" t="s">
        <v>15</v>
      </c>
      <c r="C176" s="4" t="s">
        <v>11</v>
      </c>
      <c r="D176" s="4" t="s">
        <v>22</v>
      </c>
      <c r="E176" s="4">
        <v>960</v>
      </c>
      <c r="F176" s="4">
        <v>16</v>
      </c>
      <c r="G176" s="5">
        <f t="shared" si="2"/>
        <v>15360</v>
      </c>
    </row>
    <row r="177" spans="1:7" ht="15.6" x14ac:dyDescent="0.3">
      <c r="A177" s="6">
        <v>44531</v>
      </c>
      <c r="B177" s="7" t="s">
        <v>10</v>
      </c>
      <c r="C177" s="7" t="s">
        <v>13</v>
      </c>
      <c r="D177" s="7" t="s">
        <v>24</v>
      </c>
      <c r="E177" s="7">
        <v>5599</v>
      </c>
      <c r="F177" s="7">
        <v>35</v>
      </c>
      <c r="G177" s="8">
        <f t="shared" si="2"/>
        <v>195965</v>
      </c>
    </row>
    <row r="178" spans="1:7" ht="15.6" x14ac:dyDescent="0.3">
      <c r="A178" s="3">
        <v>44535</v>
      </c>
      <c r="B178" s="4" t="s">
        <v>12</v>
      </c>
      <c r="C178" s="4" t="s">
        <v>14</v>
      </c>
      <c r="D178" s="4" t="s">
        <v>19</v>
      </c>
      <c r="E178" s="4">
        <v>89</v>
      </c>
      <c r="F178" s="4">
        <v>36</v>
      </c>
      <c r="G178" s="5">
        <f t="shared" si="2"/>
        <v>3204</v>
      </c>
    </row>
    <row r="179" spans="1:7" ht="15.6" x14ac:dyDescent="0.3">
      <c r="A179" s="6">
        <v>44539</v>
      </c>
      <c r="B179" s="7" t="s">
        <v>7</v>
      </c>
      <c r="C179" s="7" t="s">
        <v>8</v>
      </c>
      <c r="D179" s="7" t="s">
        <v>21</v>
      </c>
      <c r="E179" s="7">
        <v>2550</v>
      </c>
      <c r="F179" s="7">
        <v>20</v>
      </c>
      <c r="G179" s="8">
        <f t="shared" si="2"/>
        <v>51000</v>
      </c>
    </row>
    <row r="180" spans="1:7" ht="15.6" x14ac:dyDescent="0.3">
      <c r="A180" s="3">
        <v>44543</v>
      </c>
      <c r="B180" s="4" t="s">
        <v>7</v>
      </c>
      <c r="C180" s="4" t="s">
        <v>8</v>
      </c>
      <c r="D180" s="4" t="s">
        <v>19</v>
      </c>
      <c r="E180" s="4">
        <v>1450</v>
      </c>
      <c r="F180" s="4">
        <v>47</v>
      </c>
      <c r="G180" s="5">
        <f t="shared" si="2"/>
        <v>68150</v>
      </c>
    </row>
    <row r="181" spans="1:7" ht="15.6" x14ac:dyDescent="0.3">
      <c r="A181" s="6">
        <v>44547</v>
      </c>
      <c r="B181" s="7" t="s">
        <v>18</v>
      </c>
      <c r="C181" s="7" t="s">
        <v>17</v>
      </c>
      <c r="D181" s="7" t="s">
        <v>24</v>
      </c>
      <c r="E181" s="7">
        <v>2900</v>
      </c>
      <c r="F181" s="7">
        <v>6</v>
      </c>
      <c r="G181" s="8">
        <f t="shared" si="2"/>
        <v>17400</v>
      </c>
    </row>
    <row r="182" spans="1:7" ht="15.6" x14ac:dyDescent="0.3">
      <c r="A182" s="3">
        <v>44551</v>
      </c>
      <c r="B182" s="4" t="s">
        <v>12</v>
      </c>
      <c r="C182" s="4" t="s">
        <v>14</v>
      </c>
      <c r="D182" s="4" t="s">
        <v>22</v>
      </c>
      <c r="E182" s="4">
        <v>120</v>
      </c>
      <c r="F182" s="4">
        <v>6</v>
      </c>
      <c r="G182" s="5">
        <f t="shared" si="2"/>
        <v>720</v>
      </c>
    </row>
    <row r="183" spans="1:7" ht="15.6" x14ac:dyDescent="0.3">
      <c r="A183" s="6">
        <v>44555</v>
      </c>
      <c r="B183" s="7" t="s">
        <v>15</v>
      </c>
      <c r="C183" s="7" t="s">
        <v>16</v>
      </c>
      <c r="D183" s="7" t="s">
        <v>22</v>
      </c>
      <c r="E183" s="7">
        <v>52000</v>
      </c>
      <c r="F183" s="7">
        <v>41</v>
      </c>
      <c r="G183" s="8">
        <f t="shared" si="2"/>
        <v>2132000</v>
      </c>
    </row>
    <row r="184" spans="1:7" ht="15.6" x14ac:dyDescent="0.3">
      <c r="A184" s="3">
        <v>44559</v>
      </c>
      <c r="B184" s="4" t="s">
        <v>18</v>
      </c>
      <c r="C184" s="4" t="s">
        <v>17</v>
      </c>
      <c r="D184" s="4" t="s">
        <v>21</v>
      </c>
      <c r="E184" s="4">
        <v>590</v>
      </c>
      <c r="F184" s="4">
        <v>29</v>
      </c>
      <c r="G184" s="5">
        <f t="shared" si="2"/>
        <v>17110</v>
      </c>
    </row>
    <row r="185" spans="1:7" ht="15.6" x14ac:dyDescent="0.3">
      <c r="A185" s="6">
        <v>44563</v>
      </c>
      <c r="B185" s="7" t="s">
        <v>15</v>
      </c>
      <c r="C185" s="7" t="s">
        <v>13</v>
      </c>
      <c r="D185" s="7" t="s">
        <v>23</v>
      </c>
      <c r="E185" s="7">
        <v>7999</v>
      </c>
      <c r="F185" s="7">
        <v>31</v>
      </c>
      <c r="G185" s="8">
        <f t="shared" si="2"/>
        <v>247969</v>
      </c>
    </row>
    <row r="186" spans="1:7" ht="15.6" x14ac:dyDescent="0.3">
      <c r="A186" s="3">
        <v>44567</v>
      </c>
      <c r="B186" s="4" t="s">
        <v>9</v>
      </c>
      <c r="C186" s="4" t="s">
        <v>14</v>
      </c>
      <c r="D186" s="4" t="s">
        <v>21</v>
      </c>
      <c r="E186" s="4">
        <v>999</v>
      </c>
      <c r="F186" s="4">
        <v>34</v>
      </c>
      <c r="G186" s="5">
        <f t="shared" si="2"/>
        <v>33966</v>
      </c>
    </row>
    <row r="187" spans="1:7" ht="15.6" x14ac:dyDescent="0.3">
      <c r="A187" s="6">
        <v>44571</v>
      </c>
      <c r="B187" s="7" t="s">
        <v>10</v>
      </c>
      <c r="C187" s="7" t="s">
        <v>17</v>
      </c>
      <c r="D187" s="7" t="s">
        <v>19</v>
      </c>
      <c r="E187" s="7">
        <v>990</v>
      </c>
      <c r="F187" s="7">
        <v>43</v>
      </c>
      <c r="G187" s="8">
        <f t="shared" si="2"/>
        <v>42570</v>
      </c>
    </row>
    <row r="188" spans="1:7" ht="15.6" x14ac:dyDescent="0.3">
      <c r="A188" s="3">
        <v>44575</v>
      </c>
      <c r="B188" s="4" t="s">
        <v>15</v>
      </c>
      <c r="C188" s="4" t="s">
        <v>16</v>
      </c>
      <c r="D188" s="4" t="s">
        <v>19</v>
      </c>
      <c r="E188" s="4">
        <v>11999</v>
      </c>
      <c r="F188" s="4">
        <v>37</v>
      </c>
      <c r="G188" s="5">
        <f t="shared" si="2"/>
        <v>443963</v>
      </c>
    </row>
    <row r="189" spans="1:7" ht="15.6" x14ac:dyDescent="0.3">
      <c r="A189" s="6">
        <v>44579</v>
      </c>
      <c r="B189" s="7" t="s">
        <v>15</v>
      </c>
      <c r="C189" s="7" t="s">
        <v>11</v>
      </c>
      <c r="D189" s="7" t="s">
        <v>19</v>
      </c>
      <c r="E189" s="7">
        <v>960</v>
      </c>
      <c r="F189" s="7">
        <v>7</v>
      </c>
      <c r="G189" s="8">
        <f t="shared" si="2"/>
        <v>6720</v>
      </c>
    </row>
    <row r="190" spans="1:7" ht="15.6" x14ac:dyDescent="0.3">
      <c r="A190" s="3">
        <v>44583</v>
      </c>
      <c r="B190" s="4" t="s">
        <v>7</v>
      </c>
      <c r="C190" s="4" t="s">
        <v>8</v>
      </c>
      <c r="D190" s="4" t="s">
        <v>21</v>
      </c>
      <c r="E190" s="4">
        <v>1450</v>
      </c>
      <c r="F190" s="4">
        <v>19</v>
      </c>
      <c r="G190" s="5">
        <f t="shared" si="2"/>
        <v>27550</v>
      </c>
    </row>
    <row r="191" spans="1:7" ht="15.6" x14ac:dyDescent="0.3">
      <c r="A191" s="6">
        <v>44587</v>
      </c>
      <c r="B191" s="7" t="s">
        <v>18</v>
      </c>
      <c r="C191" s="7" t="s">
        <v>17</v>
      </c>
      <c r="D191" s="7" t="s">
        <v>20</v>
      </c>
      <c r="E191" s="7">
        <v>450</v>
      </c>
      <c r="F191" s="7">
        <v>47</v>
      </c>
      <c r="G191" s="8">
        <f t="shared" si="2"/>
        <v>21150</v>
      </c>
    </row>
    <row r="192" spans="1:7" ht="15.6" x14ac:dyDescent="0.3">
      <c r="A192" s="3">
        <v>44591</v>
      </c>
      <c r="B192" s="4" t="s">
        <v>9</v>
      </c>
      <c r="C192" s="4" t="s">
        <v>17</v>
      </c>
      <c r="D192" s="4" t="s">
        <v>21</v>
      </c>
      <c r="E192" s="4">
        <v>1499</v>
      </c>
      <c r="F192" s="4">
        <v>37</v>
      </c>
      <c r="G192" s="5">
        <f t="shared" si="2"/>
        <v>55463</v>
      </c>
    </row>
    <row r="193" spans="1:7" ht="15.6" x14ac:dyDescent="0.3">
      <c r="A193" s="6">
        <v>44595</v>
      </c>
      <c r="B193" s="7" t="s">
        <v>10</v>
      </c>
      <c r="C193" s="7" t="s">
        <v>16</v>
      </c>
      <c r="D193" s="7" t="s">
        <v>20</v>
      </c>
      <c r="E193" s="7">
        <v>79999</v>
      </c>
      <c r="F193" s="7">
        <v>4</v>
      </c>
      <c r="G193" s="8">
        <f t="shared" si="2"/>
        <v>319996</v>
      </c>
    </row>
    <row r="194" spans="1:7" ht="15.6" x14ac:dyDescent="0.3">
      <c r="A194" s="3">
        <v>44599</v>
      </c>
      <c r="B194" s="4" t="s">
        <v>10</v>
      </c>
      <c r="C194" s="4" t="s">
        <v>14</v>
      </c>
      <c r="D194" s="4" t="s">
        <v>22</v>
      </c>
      <c r="E194" s="4">
        <v>999</v>
      </c>
      <c r="F194" s="4">
        <v>45</v>
      </c>
      <c r="G194" s="5">
        <f t="shared" si="2"/>
        <v>44955</v>
      </c>
    </row>
    <row r="195" spans="1:7" ht="15.6" x14ac:dyDescent="0.3">
      <c r="A195" s="6">
        <v>44603</v>
      </c>
      <c r="B195" s="7" t="s">
        <v>15</v>
      </c>
      <c r="C195" s="7" t="s">
        <v>16</v>
      </c>
      <c r="D195" s="7" t="s">
        <v>19</v>
      </c>
      <c r="E195" s="7">
        <v>52000</v>
      </c>
      <c r="F195" s="7">
        <v>15</v>
      </c>
      <c r="G195" s="8">
        <f t="shared" ref="G195:G258" si="3">E195*F195</f>
        <v>780000</v>
      </c>
    </row>
    <row r="196" spans="1:7" ht="15.6" x14ac:dyDescent="0.3">
      <c r="A196" s="3">
        <v>44607</v>
      </c>
      <c r="B196" s="4" t="s">
        <v>15</v>
      </c>
      <c r="C196" s="4" t="s">
        <v>16</v>
      </c>
      <c r="D196" s="4" t="s">
        <v>24</v>
      </c>
      <c r="E196" s="4">
        <v>52000</v>
      </c>
      <c r="F196" s="4">
        <v>39</v>
      </c>
      <c r="G196" s="5">
        <f t="shared" si="3"/>
        <v>2028000</v>
      </c>
    </row>
    <row r="197" spans="1:7" ht="15.6" x14ac:dyDescent="0.3">
      <c r="A197" s="6">
        <v>44611</v>
      </c>
      <c r="B197" s="7" t="s">
        <v>15</v>
      </c>
      <c r="C197" s="7" t="s">
        <v>11</v>
      </c>
      <c r="D197" s="7" t="s">
        <v>21</v>
      </c>
      <c r="E197" s="7">
        <v>960</v>
      </c>
      <c r="F197" s="7">
        <v>33</v>
      </c>
      <c r="G197" s="8">
        <f t="shared" si="3"/>
        <v>31680</v>
      </c>
    </row>
    <row r="198" spans="1:7" ht="15.6" x14ac:dyDescent="0.3">
      <c r="A198" s="3">
        <v>44615</v>
      </c>
      <c r="B198" s="4" t="s">
        <v>15</v>
      </c>
      <c r="C198" s="4" t="s">
        <v>11</v>
      </c>
      <c r="D198" s="4" t="s">
        <v>21</v>
      </c>
      <c r="E198" s="4">
        <v>1450</v>
      </c>
      <c r="F198" s="4">
        <v>34</v>
      </c>
      <c r="G198" s="5">
        <f t="shared" si="3"/>
        <v>49300</v>
      </c>
    </row>
    <row r="199" spans="1:7" ht="15.6" x14ac:dyDescent="0.3">
      <c r="A199" s="6">
        <v>44619</v>
      </c>
      <c r="B199" s="7" t="s">
        <v>15</v>
      </c>
      <c r="C199" s="7" t="s">
        <v>13</v>
      </c>
      <c r="D199" s="7" t="s">
        <v>24</v>
      </c>
      <c r="E199" s="7">
        <v>2999</v>
      </c>
      <c r="F199" s="7">
        <v>33</v>
      </c>
      <c r="G199" s="8">
        <f t="shared" si="3"/>
        <v>98967</v>
      </c>
    </row>
    <row r="200" spans="1:7" ht="15.6" x14ac:dyDescent="0.3">
      <c r="A200" s="3">
        <v>44623</v>
      </c>
      <c r="B200" s="4" t="s">
        <v>10</v>
      </c>
      <c r="C200" s="4" t="s">
        <v>11</v>
      </c>
      <c r="D200" s="4" t="s">
        <v>22</v>
      </c>
      <c r="E200" s="4">
        <v>1250</v>
      </c>
      <c r="F200" s="4">
        <v>14</v>
      </c>
      <c r="G200" s="5">
        <f t="shared" si="3"/>
        <v>17500</v>
      </c>
    </row>
    <row r="201" spans="1:7" ht="15.6" x14ac:dyDescent="0.3">
      <c r="A201" s="6">
        <v>44627</v>
      </c>
      <c r="B201" s="7" t="s">
        <v>12</v>
      </c>
      <c r="C201" s="7" t="s">
        <v>14</v>
      </c>
      <c r="D201" s="7" t="s">
        <v>19</v>
      </c>
      <c r="E201" s="7">
        <v>120</v>
      </c>
      <c r="F201" s="7">
        <v>41</v>
      </c>
      <c r="G201" s="8">
        <f t="shared" si="3"/>
        <v>4920</v>
      </c>
    </row>
    <row r="202" spans="1:7" ht="15.6" x14ac:dyDescent="0.3">
      <c r="A202" s="3">
        <v>44631</v>
      </c>
      <c r="B202" s="4" t="s">
        <v>9</v>
      </c>
      <c r="C202" s="4" t="s">
        <v>8</v>
      </c>
      <c r="D202" s="4" t="s">
        <v>24</v>
      </c>
      <c r="E202" s="4">
        <v>1450</v>
      </c>
      <c r="F202" s="4">
        <v>22</v>
      </c>
      <c r="G202" s="5">
        <f t="shared" si="3"/>
        <v>31900</v>
      </c>
    </row>
    <row r="203" spans="1:7" ht="15.6" x14ac:dyDescent="0.3">
      <c r="A203" s="6">
        <v>44635</v>
      </c>
      <c r="B203" s="7" t="s">
        <v>9</v>
      </c>
      <c r="C203" s="7" t="s">
        <v>16</v>
      </c>
      <c r="D203" s="7" t="s">
        <v>19</v>
      </c>
      <c r="E203" s="7">
        <v>89999</v>
      </c>
      <c r="F203" s="7">
        <v>15</v>
      </c>
      <c r="G203" s="8">
        <f t="shared" si="3"/>
        <v>1349985</v>
      </c>
    </row>
    <row r="204" spans="1:7" ht="15.6" x14ac:dyDescent="0.3">
      <c r="A204" s="3">
        <v>44639</v>
      </c>
      <c r="B204" s="4" t="s">
        <v>18</v>
      </c>
      <c r="C204" s="4" t="s">
        <v>17</v>
      </c>
      <c r="D204" s="4" t="s">
        <v>21</v>
      </c>
      <c r="E204" s="4">
        <v>1999</v>
      </c>
      <c r="F204" s="4">
        <v>48</v>
      </c>
      <c r="G204" s="5">
        <f t="shared" si="3"/>
        <v>95952</v>
      </c>
    </row>
    <row r="205" spans="1:7" ht="15.6" x14ac:dyDescent="0.3">
      <c r="A205" s="6">
        <v>44643</v>
      </c>
      <c r="B205" s="7" t="s">
        <v>18</v>
      </c>
      <c r="C205" s="7" t="s">
        <v>13</v>
      </c>
      <c r="D205" s="7" t="s">
        <v>24</v>
      </c>
      <c r="E205" s="7">
        <v>2900</v>
      </c>
      <c r="F205" s="7">
        <v>49</v>
      </c>
      <c r="G205" s="8">
        <f t="shared" si="3"/>
        <v>142100</v>
      </c>
    </row>
    <row r="206" spans="1:7" ht="15.6" x14ac:dyDescent="0.3">
      <c r="A206" s="3">
        <v>44647</v>
      </c>
      <c r="B206" s="4" t="s">
        <v>15</v>
      </c>
      <c r="C206" s="4" t="s">
        <v>16</v>
      </c>
      <c r="D206" s="4" t="s">
        <v>22</v>
      </c>
      <c r="E206" s="4">
        <v>700</v>
      </c>
      <c r="F206" s="4">
        <v>50</v>
      </c>
      <c r="G206" s="5">
        <f t="shared" si="3"/>
        <v>35000</v>
      </c>
    </row>
    <row r="207" spans="1:7" ht="15.6" x14ac:dyDescent="0.3">
      <c r="A207" s="6">
        <v>44651</v>
      </c>
      <c r="B207" s="7" t="s">
        <v>12</v>
      </c>
      <c r="C207" s="7" t="s">
        <v>14</v>
      </c>
      <c r="D207" s="7" t="s">
        <v>24</v>
      </c>
      <c r="E207" s="7">
        <v>200</v>
      </c>
      <c r="F207" s="7">
        <v>41</v>
      </c>
      <c r="G207" s="8">
        <f t="shared" si="3"/>
        <v>8200</v>
      </c>
    </row>
    <row r="208" spans="1:7" ht="15.6" x14ac:dyDescent="0.3">
      <c r="A208" s="3">
        <v>44655</v>
      </c>
      <c r="B208" s="4" t="s">
        <v>7</v>
      </c>
      <c r="C208" s="4" t="s">
        <v>8</v>
      </c>
      <c r="D208" s="4" t="s">
        <v>21</v>
      </c>
      <c r="E208" s="4">
        <v>499</v>
      </c>
      <c r="F208" s="4">
        <v>29</v>
      </c>
      <c r="G208" s="5">
        <f t="shared" si="3"/>
        <v>14471</v>
      </c>
    </row>
    <row r="209" spans="1:7" ht="15.6" x14ac:dyDescent="0.3">
      <c r="A209" s="6">
        <v>44659</v>
      </c>
      <c r="B209" s="7" t="s">
        <v>10</v>
      </c>
      <c r="C209" s="7" t="s">
        <v>8</v>
      </c>
      <c r="D209" s="7" t="s">
        <v>23</v>
      </c>
      <c r="E209" s="7">
        <v>5599</v>
      </c>
      <c r="F209" s="7">
        <v>36</v>
      </c>
      <c r="G209" s="8">
        <f t="shared" si="3"/>
        <v>201564</v>
      </c>
    </row>
    <row r="210" spans="1:7" ht="15.6" x14ac:dyDescent="0.3">
      <c r="A210" s="3">
        <v>44663</v>
      </c>
      <c r="B210" s="4" t="s">
        <v>9</v>
      </c>
      <c r="C210" s="4" t="s">
        <v>14</v>
      </c>
      <c r="D210" s="4" t="s">
        <v>24</v>
      </c>
      <c r="E210" s="4">
        <v>100</v>
      </c>
      <c r="F210" s="4">
        <v>39</v>
      </c>
      <c r="G210" s="5">
        <f t="shared" si="3"/>
        <v>3900</v>
      </c>
    </row>
    <row r="211" spans="1:7" ht="15.6" x14ac:dyDescent="0.3">
      <c r="A211" s="6">
        <v>44667</v>
      </c>
      <c r="B211" s="7" t="s">
        <v>15</v>
      </c>
      <c r="C211" s="7" t="s">
        <v>13</v>
      </c>
      <c r="D211" s="7" t="s">
        <v>24</v>
      </c>
      <c r="E211" s="7">
        <v>79999</v>
      </c>
      <c r="F211" s="7">
        <v>9</v>
      </c>
      <c r="G211" s="8">
        <f t="shared" si="3"/>
        <v>719991</v>
      </c>
    </row>
    <row r="212" spans="1:7" ht="15.6" x14ac:dyDescent="0.3">
      <c r="A212" s="3">
        <v>44671</v>
      </c>
      <c r="B212" s="4" t="s">
        <v>10</v>
      </c>
      <c r="C212" s="4" t="s">
        <v>16</v>
      </c>
      <c r="D212" s="4" t="s">
        <v>21</v>
      </c>
      <c r="E212" s="4">
        <v>700</v>
      </c>
      <c r="F212" s="4">
        <v>38</v>
      </c>
      <c r="G212" s="5">
        <f t="shared" si="3"/>
        <v>26600</v>
      </c>
    </row>
    <row r="213" spans="1:7" ht="15.6" x14ac:dyDescent="0.3">
      <c r="A213" s="6">
        <v>44675</v>
      </c>
      <c r="B213" s="7" t="s">
        <v>15</v>
      </c>
      <c r="C213" s="7" t="s">
        <v>11</v>
      </c>
      <c r="D213" s="7" t="s">
        <v>19</v>
      </c>
      <c r="E213" s="7">
        <v>550</v>
      </c>
      <c r="F213" s="7">
        <v>25</v>
      </c>
      <c r="G213" s="8">
        <f t="shared" si="3"/>
        <v>13750</v>
      </c>
    </row>
    <row r="214" spans="1:7" ht="15.6" x14ac:dyDescent="0.3">
      <c r="A214" s="3">
        <v>44679</v>
      </c>
      <c r="B214" s="4" t="s">
        <v>18</v>
      </c>
      <c r="C214" s="4" t="s">
        <v>17</v>
      </c>
      <c r="D214" s="4" t="s">
        <v>24</v>
      </c>
      <c r="E214" s="4">
        <v>1499</v>
      </c>
      <c r="F214" s="4">
        <v>16</v>
      </c>
      <c r="G214" s="5">
        <f t="shared" si="3"/>
        <v>23984</v>
      </c>
    </row>
    <row r="215" spans="1:7" ht="15.6" x14ac:dyDescent="0.3">
      <c r="A215" s="6">
        <v>44683</v>
      </c>
      <c r="B215" s="7" t="s">
        <v>12</v>
      </c>
      <c r="C215" s="7" t="s">
        <v>14</v>
      </c>
      <c r="D215" s="7" t="s">
        <v>22</v>
      </c>
      <c r="E215" s="7">
        <v>120</v>
      </c>
      <c r="F215" s="7">
        <v>22</v>
      </c>
      <c r="G215" s="8">
        <f t="shared" si="3"/>
        <v>2640</v>
      </c>
    </row>
    <row r="216" spans="1:7" ht="15.6" x14ac:dyDescent="0.3">
      <c r="A216" s="3">
        <v>44687</v>
      </c>
      <c r="B216" s="4" t="s">
        <v>7</v>
      </c>
      <c r="C216" s="4" t="s">
        <v>8</v>
      </c>
      <c r="D216" s="4" t="s">
        <v>20</v>
      </c>
      <c r="E216" s="4">
        <v>1450</v>
      </c>
      <c r="F216" s="4">
        <v>20</v>
      </c>
      <c r="G216" s="5">
        <f t="shared" si="3"/>
        <v>29000</v>
      </c>
    </row>
    <row r="217" spans="1:7" ht="15.6" x14ac:dyDescent="0.3">
      <c r="A217" s="6">
        <v>44691</v>
      </c>
      <c r="B217" s="7" t="s">
        <v>18</v>
      </c>
      <c r="C217" s="7" t="s">
        <v>13</v>
      </c>
      <c r="D217" s="7" t="s">
        <v>21</v>
      </c>
      <c r="E217" s="7">
        <v>1999</v>
      </c>
      <c r="F217" s="7">
        <v>23</v>
      </c>
      <c r="G217" s="8">
        <f t="shared" si="3"/>
        <v>45977</v>
      </c>
    </row>
    <row r="218" spans="1:7" ht="15.6" x14ac:dyDescent="0.3">
      <c r="A218" s="3">
        <v>44695</v>
      </c>
      <c r="B218" s="4" t="s">
        <v>7</v>
      </c>
      <c r="C218" s="4" t="s">
        <v>8</v>
      </c>
      <c r="D218" s="4" t="s">
        <v>24</v>
      </c>
      <c r="E218" s="4">
        <v>800</v>
      </c>
      <c r="F218" s="4">
        <v>43</v>
      </c>
      <c r="G218" s="5">
        <f t="shared" si="3"/>
        <v>34400</v>
      </c>
    </row>
    <row r="219" spans="1:7" ht="15.6" x14ac:dyDescent="0.3">
      <c r="A219" s="6">
        <v>44699</v>
      </c>
      <c r="B219" s="7" t="s">
        <v>10</v>
      </c>
      <c r="C219" s="7" t="s">
        <v>14</v>
      </c>
      <c r="D219" s="7" t="s">
        <v>22</v>
      </c>
      <c r="E219" s="7">
        <v>100</v>
      </c>
      <c r="F219" s="7">
        <v>41</v>
      </c>
      <c r="G219" s="8">
        <f t="shared" si="3"/>
        <v>4100</v>
      </c>
    </row>
    <row r="220" spans="1:7" ht="15.6" x14ac:dyDescent="0.3">
      <c r="A220" s="3">
        <v>44703</v>
      </c>
      <c r="B220" s="4" t="s">
        <v>7</v>
      </c>
      <c r="C220" s="4" t="s">
        <v>8</v>
      </c>
      <c r="D220" s="4" t="s">
        <v>21</v>
      </c>
      <c r="E220" s="4">
        <v>13999</v>
      </c>
      <c r="F220" s="4">
        <v>37</v>
      </c>
      <c r="G220" s="5">
        <f t="shared" si="3"/>
        <v>517963</v>
      </c>
    </row>
    <row r="221" spans="1:7" ht="15.6" x14ac:dyDescent="0.3">
      <c r="A221" s="6">
        <v>44707</v>
      </c>
      <c r="B221" s="7" t="s">
        <v>15</v>
      </c>
      <c r="C221" s="7" t="s">
        <v>16</v>
      </c>
      <c r="D221" s="7" t="s">
        <v>24</v>
      </c>
      <c r="E221" s="7">
        <v>22000</v>
      </c>
      <c r="F221" s="7">
        <v>45</v>
      </c>
      <c r="G221" s="8">
        <f t="shared" si="3"/>
        <v>990000</v>
      </c>
    </row>
    <row r="222" spans="1:7" ht="15.6" x14ac:dyDescent="0.3">
      <c r="A222" s="3">
        <v>44711</v>
      </c>
      <c r="B222" s="4" t="s">
        <v>15</v>
      </c>
      <c r="C222" s="4" t="s">
        <v>16</v>
      </c>
      <c r="D222" s="4" t="s">
        <v>23</v>
      </c>
      <c r="E222" s="4">
        <v>89999</v>
      </c>
      <c r="F222" s="4">
        <v>15</v>
      </c>
      <c r="G222" s="5">
        <f t="shared" si="3"/>
        <v>1349985</v>
      </c>
    </row>
    <row r="223" spans="1:7" ht="15.6" x14ac:dyDescent="0.3">
      <c r="A223" s="6">
        <v>44715</v>
      </c>
      <c r="B223" s="7" t="s">
        <v>9</v>
      </c>
      <c r="C223" s="7" t="s">
        <v>13</v>
      </c>
      <c r="D223" s="7" t="s">
        <v>24</v>
      </c>
      <c r="E223" s="7">
        <v>13999</v>
      </c>
      <c r="F223" s="7">
        <v>22</v>
      </c>
      <c r="G223" s="8">
        <f t="shared" si="3"/>
        <v>307978</v>
      </c>
    </row>
    <row r="224" spans="1:7" ht="15.6" x14ac:dyDescent="0.3">
      <c r="A224" s="3">
        <v>44719</v>
      </c>
      <c r="B224" s="4" t="s">
        <v>10</v>
      </c>
      <c r="C224" s="4" t="s">
        <v>17</v>
      </c>
      <c r="D224" s="4" t="s">
        <v>21</v>
      </c>
      <c r="E224" s="4">
        <v>2900</v>
      </c>
      <c r="F224" s="4">
        <v>20</v>
      </c>
      <c r="G224" s="5">
        <f t="shared" si="3"/>
        <v>58000</v>
      </c>
    </row>
    <row r="225" spans="1:7" ht="15.6" x14ac:dyDescent="0.3">
      <c r="A225" s="6">
        <v>44723</v>
      </c>
      <c r="B225" s="7" t="s">
        <v>9</v>
      </c>
      <c r="C225" s="7" t="s">
        <v>16</v>
      </c>
      <c r="D225" s="7" t="s">
        <v>24</v>
      </c>
      <c r="E225" s="7">
        <v>33000</v>
      </c>
      <c r="F225" s="7">
        <v>16</v>
      </c>
      <c r="G225" s="8">
        <f t="shared" si="3"/>
        <v>528000</v>
      </c>
    </row>
    <row r="226" spans="1:7" ht="15.6" x14ac:dyDescent="0.3">
      <c r="A226" s="3">
        <v>44727</v>
      </c>
      <c r="B226" s="4" t="s">
        <v>15</v>
      </c>
      <c r="C226" s="4" t="s">
        <v>13</v>
      </c>
      <c r="D226" s="4" t="s">
        <v>20</v>
      </c>
      <c r="E226" s="4">
        <v>22000</v>
      </c>
      <c r="F226" s="4">
        <v>17</v>
      </c>
      <c r="G226" s="5">
        <f t="shared" si="3"/>
        <v>374000</v>
      </c>
    </row>
    <row r="227" spans="1:7" ht="15.6" x14ac:dyDescent="0.3">
      <c r="A227" s="6">
        <v>44731</v>
      </c>
      <c r="B227" s="7" t="s">
        <v>18</v>
      </c>
      <c r="C227" s="7" t="s">
        <v>17</v>
      </c>
      <c r="D227" s="7" t="s">
        <v>20</v>
      </c>
      <c r="E227" s="7">
        <v>699</v>
      </c>
      <c r="F227" s="7">
        <v>50</v>
      </c>
      <c r="G227" s="8">
        <f t="shared" si="3"/>
        <v>34950</v>
      </c>
    </row>
    <row r="228" spans="1:7" ht="15.6" x14ac:dyDescent="0.3">
      <c r="A228" s="3">
        <v>44735</v>
      </c>
      <c r="B228" s="4" t="s">
        <v>10</v>
      </c>
      <c r="C228" s="4" t="s">
        <v>16</v>
      </c>
      <c r="D228" s="4" t="s">
        <v>21</v>
      </c>
      <c r="E228" s="4">
        <v>499</v>
      </c>
      <c r="F228" s="4">
        <v>4</v>
      </c>
      <c r="G228" s="5">
        <f t="shared" si="3"/>
        <v>1996</v>
      </c>
    </row>
    <row r="229" spans="1:7" ht="15.6" x14ac:dyDescent="0.3">
      <c r="A229" s="6">
        <v>44739</v>
      </c>
      <c r="B229" s="7" t="s">
        <v>18</v>
      </c>
      <c r="C229" s="7" t="s">
        <v>17</v>
      </c>
      <c r="D229" s="7" t="s">
        <v>24</v>
      </c>
      <c r="E229" s="7">
        <v>590</v>
      </c>
      <c r="F229" s="7">
        <v>43</v>
      </c>
      <c r="G229" s="8">
        <f t="shared" si="3"/>
        <v>25370</v>
      </c>
    </row>
    <row r="230" spans="1:7" ht="15.6" x14ac:dyDescent="0.3">
      <c r="A230" s="3">
        <v>44743</v>
      </c>
      <c r="B230" s="4" t="s">
        <v>18</v>
      </c>
      <c r="C230" s="4" t="s">
        <v>17</v>
      </c>
      <c r="D230" s="4" t="s">
        <v>20</v>
      </c>
      <c r="E230" s="4">
        <v>590</v>
      </c>
      <c r="F230" s="4">
        <v>42</v>
      </c>
      <c r="G230" s="5">
        <f t="shared" si="3"/>
        <v>24780</v>
      </c>
    </row>
    <row r="231" spans="1:7" ht="15.6" x14ac:dyDescent="0.3">
      <c r="A231" s="6">
        <v>44747</v>
      </c>
      <c r="B231" s="7" t="s">
        <v>12</v>
      </c>
      <c r="C231" s="7" t="s">
        <v>14</v>
      </c>
      <c r="D231" s="7" t="s">
        <v>19</v>
      </c>
      <c r="E231" s="7">
        <v>120</v>
      </c>
      <c r="F231" s="7">
        <v>9</v>
      </c>
      <c r="G231" s="8">
        <f t="shared" si="3"/>
        <v>1080</v>
      </c>
    </row>
    <row r="232" spans="1:7" ht="15.6" x14ac:dyDescent="0.3">
      <c r="A232" s="3">
        <v>44751</v>
      </c>
      <c r="B232" s="4" t="s">
        <v>10</v>
      </c>
      <c r="C232" s="4" t="s">
        <v>16</v>
      </c>
      <c r="D232" s="4" t="s">
        <v>23</v>
      </c>
      <c r="E232" s="4">
        <v>52000</v>
      </c>
      <c r="F232" s="4">
        <v>40</v>
      </c>
      <c r="G232" s="5">
        <f t="shared" si="3"/>
        <v>2080000</v>
      </c>
    </row>
    <row r="233" spans="1:7" ht="15.6" x14ac:dyDescent="0.3">
      <c r="A233" s="6">
        <v>44755</v>
      </c>
      <c r="B233" s="7" t="s">
        <v>15</v>
      </c>
      <c r="C233" s="7" t="s">
        <v>13</v>
      </c>
      <c r="D233" s="7" t="s">
        <v>24</v>
      </c>
      <c r="E233" s="7">
        <v>7999</v>
      </c>
      <c r="F233" s="7">
        <v>14</v>
      </c>
      <c r="G233" s="8">
        <f t="shared" si="3"/>
        <v>111986</v>
      </c>
    </row>
    <row r="234" spans="1:7" ht="15.6" x14ac:dyDescent="0.3">
      <c r="A234" s="3">
        <v>44759</v>
      </c>
      <c r="B234" s="4" t="s">
        <v>10</v>
      </c>
      <c r="C234" s="4" t="s">
        <v>11</v>
      </c>
      <c r="D234" s="4" t="s">
        <v>22</v>
      </c>
      <c r="E234" s="4">
        <v>550</v>
      </c>
      <c r="F234" s="4">
        <v>9</v>
      </c>
      <c r="G234" s="5">
        <f t="shared" si="3"/>
        <v>4950</v>
      </c>
    </row>
    <row r="235" spans="1:7" ht="15.6" x14ac:dyDescent="0.3">
      <c r="A235" s="6">
        <v>44763</v>
      </c>
      <c r="B235" s="7" t="s">
        <v>15</v>
      </c>
      <c r="C235" s="7" t="s">
        <v>16</v>
      </c>
      <c r="D235" s="7" t="s">
        <v>24</v>
      </c>
      <c r="E235" s="7">
        <v>79999</v>
      </c>
      <c r="F235" s="7">
        <v>10</v>
      </c>
      <c r="G235" s="8">
        <f t="shared" si="3"/>
        <v>799990</v>
      </c>
    </row>
    <row r="236" spans="1:7" ht="15.6" x14ac:dyDescent="0.3">
      <c r="A236" s="3">
        <v>44767</v>
      </c>
      <c r="B236" s="4" t="s">
        <v>9</v>
      </c>
      <c r="C236" s="4" t="s">
        <v>13</v>
      </c>
      <c r="D236" s="4" t="s">
        <v>20</v>
      </c>
      <c r="E236" s="4">
        <v>1999</v>
      </c>
      <c r="F236" s="4">
        <v>37</v>
      </c>
      <c r="G236" s="5">
        <f t="shared" si="3"/>
        <v>73963</v>
      </c>
    </row>
    <row r="237" spans="1:7" ht="15.6" x14ac:dyDescent="0.3">
      <c r="A237" s="6">
        <v>44771</v>
      </c>
      <c r="B237" s="7" t="s">
        <v>10</v>
      </c>
      <c r="C237" s="7" t="s">
        <v>16</v>
      </c>
      <c r="D237" s="7" t="s">
        <v>24</v>
      </c>
      <c r="E237" s="7">
        <v>89999</v>
      </c>
      <c r="F237" s="7">
        <v>29</v>
      </c>
      <c r="G237" s="8">
        <f t="shared" si="3"/>
        <v>2609971</v>
      </c>
    </row>
    <row r="238" spans="1:7" ht="15.6" x14ac:dyDescent="0.3">
      <c r="A238" s="3">
        <v>44775</v>
      </c>
      <c r="B238" s="4" t="s">
        <v>15</v>
      </c>
      <c r="C238" s="4" t="s">
        <v>16</v>
      </c>
      <c r="D238" s="4" t="s">
        <v>19</v>
      </c>
      <c r="E238" s="4">
        <v>799</v>
      </c>
      <c r="F238" s="4">
        <v>44</v>
      </c>
      <c r="G238" s="5">
        <f t="shared" si="3"/>
        <v>35156</v>
      </c>
    </row>
    <row r="239" spans="1:7" ht="15.6" x14ac:dyDescent="0.3">
      <c r="A239" s="6">
        <v>44779</v>
      </c>
      <c r="B239" s="7" t="s">
        <v>15</v>
      </c>
      <c r="C239" s="7" t="s">
        <v>16</v>
      </c>
      <c r="D239" s="7" t="s">
        <v>23</v>
      </c>
      <c r="E239" s="7">
        <v>3990</v>
      </c>
      <c r="F239" s="7">
        <v>31</v>
      </c>
      <c r="G239" s="8">
        <f t="shared" si="3"/>
        <v>123690</v>
      </c>
    </row>
    <row r="240" spans="1:7" ht="15.6" x14ac:dyDescent="0.3">
      <c r="A240" s="3">
        <v>44783</v>
      </c>
      <c r="B240" s="4" t="s">
        <v>10</v>
      </c>
      <c r="C240" s="4" t="s">
        <v>13</v>
      </c>
      <c r="D240" s="4" t="s">
        <v>21</v>
      </c>
      <c r="E240" s="4">
        <v>52000</v>
      </c>
      <c r="F240" s="4">
        <v>29</v>
      </c>
      <c r="G240" s="5">
        <f t="shared" si="3"/>
        <v>1508000</v>
      </c>
    </row>
    <row r="241" spans="1:7" ht="15.6" x14ac:dyDescent="0.3">
      <c r="A241" s="6">
        <v>44787</v>
      </c>
      <c r="B241" s="7" t="s">
        <v>7</v>
      </c>
      <c r="C241" s="7" t="s">
        <v>8</v>
      </c>
      <c r="D241" s="7" t="s">
        <v>24</v>
      </c>
      <c r="E241" s="7">
        <v>13999</v>
      </c>
      <c r="F241" s="7">
        <v>34</v>
      </c>
      <c r="G241" s="8">
        <f t="shared" si="3"/>
        <v>475966</v>
      </c>
    </row>
    <row r="242" spans="1:7" ht="15.6" x14ac:dyDescent="0.3">
      <c r="A242" s="3">
        <v>44791</v>
      </c>
      <c r="B242" s="4" t="s">
        <v>10</v>
      </c>
      <c r="C242" s="4" t="s">
        <v>14</v>
      </c>
      <c r="D242" s="4" t="s">
        <v>21</v>
      </c>
      <c r="E242" s="4">
        <v>120</v>
      </c>
      <c r="F242" s="4">
        <v>29</v>
      </c>
      <c r="G242" s="5">
        <f t="shared" si="3"/>
        <v>3480</v>
      </c>
    </row>
    <row r="243" spans="1:7" ht="15.6" x14ac:dyDescent="0.3">
      <c r="A243" s="6">
        <v>44795</v>
      </c>
      <c r="B243" s="7" t="s">
        <v>15</v>
      </c>
      <c r="C243" s="7" t="s">
        <v>11</v>
      </c>
      <c r="D243" s="7" t="s">
        <v>19</v>
      </c>
      <c r="E243" s="7">
        <v>23999</v>
      </c>
      <c r="F243" s="7">
        <v>25</v>
      </c>
      <c r="G243" s="8">
        <f t="shared" si="3"/>
        <v>599975</v>
      </c>
    </row>
    <row r="244" spans="1:7" ht="15.6" x14ac:dyDescent="0.3">
      <c r="A244" s="3">
        <v>44799</v>
      </c>
      <c r="B244" s="4" t="s">
        <v>10</v>
      </c>
      <c r="C244" s="4" t="s">
        <v>11</v>
      </c>
      <c r="D244" s="4" t="s">
        <v>24</v>
      </c>
      <c r="E244" s="4">
        <v>1250</v>
      </c>
      <c r="F244" s="4">
        <v>31</v>
      </c>
      <c r="G244" s="5">
        <f t="shared" si="3"/>
        <v>38750</v>
      </c>
    </row>
    <row r="245" spans="1:7" ht="15.6" x14ac:dyDescent="0.3">
      <c r="A245" s="6">
        <v>44803</v>
      </c>
      <c r="B245" s="7" t="s">
        <v>18</v>
      </c>
      <c r="C245" s="7" t="s">
        <v>13</v>
      </c>
      <c r="D245" s="7" t="s">
        <v>24</v>
      </c>
      <c r="E245" s="7">
        <v>45000</v>
      </c>
      <c r="F245" s="7">
        <v>16</v>
      </c>
      <c r="G245" s="8">
        <f t="shared" si="3"/>
        <v>720000</v>
      </c>
    </row>
    <row r="246" spans="1:7" ht="15.6" x14ac:dyDescent="0.3">
      <c r="A246" s="3">
        <v>44807</v>
      </c>
      <c r="B246" s="4" t="s">
        <v>9</v>
      </c>
      <c r="C246" s="4" t="s">
        <v>14</v>
      </c>
      <c r="D246" s="4" t="s">
        <v>21</v>
      </c>
      <c r="E246" s="4">
        <v>120</v>
      </c>
      <c r="F246" s="4">
        <v>48</v>
      </c>
      <c r="G246" s="5">
        <f t="shared" si="3"/>
        <v>5760</v>
      </c>
    </row>
    <row r="247" spans="1:7" ht="15.6" x14ac:dyDescent="0.3">
      <c r="A247" s="6">
        <v>44811</v>
      </c>
      <c r="B247" s="7" t="s">
        <v>10</v>
      </c>
      <c r="C247" s="7" t="s">
        <v>13</v>
      </c>
      <c r="D247" s="7" t="s">
        <v>22</v>
      </c>
      <c r="E247" s="7">
        <v>25600</v>
      </c>
      <c r="F247" s="7">
        <v>22</v>
      </c>
      <c r="G247" s="8">
        <f t="shared" si="3"/>
        <v>563200</v>
      </c>
    </row>
    <row r="248" spans="1:7" ht="15.6" x14ac:dyDescent="0.3">
      <c r="A248" s="3">
        <v>44815</v>
      </c>
      <c r="B248" s="4" t="s">
        <v>18</v>
      </c>
      <c r="C248" s="4" t="s">
        <v>17</v>
      </c>
      <c r="D248" s="4" t="s">
        <v>24</v>
      </c>
      <c r="E248" s="4">
        <v>699</v>
      </c>
      <c r="F248" s="4">
        <v>6</v>
      </c>
      <c r="G248" s="5">
        <f t="shared" si="3"/>
        <v>4194</v>
      </c>
    </row>
    <row r="249" spans="1:7" ht="15.6" x14ac:dyDescent="0.3">
      <c r="A249" s="6">
        <v>44819</v>
      </c>
      <c r="B249" s="7" t="s">
        <v>18</v>
      </c>
      <c r="C249" s="7" t="s">
        <v>13</v>
      </c>
      <c r="D249" s="7" t="s">
        <v>21</v>
      </c>
      <c r="E249" s="7">
        <v>99620</v>
      </c>
      <c r="F249" s="7">
        <v>12</v>
      </c>
      <c r="G249" s="8">
        <f t="shared" si="3"/>
        <v>1195440</v>
      </c>
    </row>
    <row r="250" spans="1:7" ht="15.6" x14ac:dyDescent="0.3">
      <c r="A250" s="3">
        <v>44823</v>
      </c>
      <c r="B250" s="4" t="s">
        <v>10</v>
      </c>
      <c r="C250" s="4" t="s">
        <v>17</v>
      </c>
      <c r="D250" s="4" t="s">
        <v>23</v>
      </c>
      <c r="E250" s="4">
        <v>450</v>
      </c>
      <c r="F250" s="4">
        <v>44</v>
      </c>
      <c r="G250" s="5">
        <f t="shared" si="3"/>
        <v>19800</v>
      </c>
    </row>
    <row r="251" spans="1:7" ht="15.6" x14ac:dyDescent="0.3">
      <c r="A251" s="6">
        <v>44827</v>
      </c>
      <c r="B251" s="7" t="s">
        <v>18</v>
      </c>
      <c r="C251" s="7" t="s">
        <v>17</v>
      </c>
      <c r="D251" s="7" t="s">
        <v>21</v>
      </c>
      <c r="E251" s="7">
        <v>1499</v>
      </c>
      <c r="F251" s="7">
        <v>15</v>
      </c>
      <c r="G251" s="8">
        <f t="shared" si="3"/>
        <v>22485</v>
      </c>
    </row>
    <row r="252" spans="1:7" ht="15.6" x14ac:dyDescent="0.3">
      <c r="A252" s="3">
        <v>44831</v>
      </c>
      <c r="B252" s="4" t="s">
        <v>7</v>
      </c>
      <c r="C252" s="4" t="s">
        <v>13</v>
      </c>
      <c r="D252" s="4" t="s">
        <v>22</v>
      </c>
      <c r="E252" s="4">
        <v>49500</v>
      </c>
      <c r="F252" s="4">
        <v>26</v>
      </c>
      <c r="G252" s="5">
        <f t="shared" si="3"/>
        <v>1287000</v>
      </c>
    </row>
    <row r="253" spans="1:7" ht="15.6" x14ac:dyDescent="0.3">
      <c r="A253" s="6">
        <v>44835</v>
      </c>
      <c r="B253" s="7" t="s">
        <v>9</v>
      </c>
      <c r="C253" s="7" t="s">
        <v>11</v>
      </c>
      <c r="D253" s="7" t="s">
        <v>22</v>
      </c>
      <c r="E253" s="7">
        <v>960</v>
      </c>
      <c r="F253" s="7">
        <v>16</v>
      </c>
      <c r="G253" s="8">
        <f t="shared" si="3"/>
        <v>15360</v>
      </c>
    </row>
    <row r="254" spans="1:7" ht="15.6" x14ac:dyDescent="0.3">
      <c r="A254" s="3">
        <v>44839</v>
      </c>
      <c r="B254" s="4" t="s">
        <v>10</v>
      </c>
      <c r="C254" s="4" t="s">
        <v>8</v>
      </c>
      <c r="D254" s="4" t="s">
        <v>24</v>
      </c>
      <c r="E254" s="4">
        <v>5599</v>
      </c>
      <c r="F254" s="4">
        <v>35</v>
      </c>
      <c r="G254" s="5">
        <f t="shared" si="3"/>
        <v>195965</v>
      </c>
    </row>
    <row r="255" spans="1:7" ht="15.6" x14ac:dyDescent="0.3">
      <c r="A255" s="6">
        <v>44843</v>
      </c>
      <c r="B255" s="7" t="s">
        <v>12</v>
      </c>
      <c r="C255" s="7" t="s">
        <v>14</v>
      </c>
      <c r="D255" s="7" t="s">
        <v>19</v>
      </c>
      <c r="E255" s="7">
        <v>89</v>
      </c>
      <c r="F255" s="7">
        <v>36</v>
      </c>
      <c r="G255" s="8">
        <f t="shared" si="3"/>
        <v>3204</v>
      </c>
    </row>
    <row r="256" spans="1:7" ht="15.6" x14ac:dyDescent="0.3">
      <c r="A256" s="3">
        <v>44847</v>
      </c>
      <c r="B256" s="4" t="s">
        <v>7</v>
      </c>
      <c r="C256" s="4" t="s">
        <v>8</v>
      </c>
      <c r="D256" s="4" t="s">
        <v>23</v>
      </c>
      <c r="E256" s="4">
        <v>2550</v>
      </c>
      <c r="F256" s="4">
        <v>20</v>
      </c>
      <c r="G256" s="5">
        <f t="shared" si="3"/>
        <v>51000</v>
      </c>
    </row>
    <row r="257" spans="1:7" ht="15.6" x14ac:dyDescent="0.3">
      <c r="A257" s="6">
        <v>44851</v>
      </c>
      <c r="B257" s="7" t="s">
        <v>10</v>
      </c>
      <c r="C257" s="7" t="s">
        <v>13</v>
      </c>
      <c r="D257" s="7" t="s">
        <v>19</v>
      </c>
      <c r="E257" s="7">
        <v>14500</v>
      </c>
      <c r="F257" s="7">
        <v>47</v>
      </c>
      <c r="G257" s="8">
        <f t="shared" si="3"/>
        <v>681500</v>
      </c>
    </row>
    <row r="258" spans="1:7" ht="15.6" x14ac:dyDescent="0.3">
      <c r="A258" s="3">
        <v>44855</v>
      </c>
      <c r="B258" s="4" t="s">
        <v>18</v>
      </c>
      <c r="C258" s="4" t="s">
        <v>17</v>
      </c>
      <c r="D258" s="4" t="s">
        <v>24</v>
      </c>
      <c r="E258" s="4">
        <v>2900</v>
      </c>
      <c r="F258" s="4">
        <v>6</v>
      </c>
      <c r="G258" s="5">
        <f t="shared" si="3"/>
        <v>17400</v>
      </c>
    </row>
    <row r="259" spans="1:7" ht="15.6" x14ac:dyDescent="0.3">
      <c r="A259" s="6">
        <v>44859</v>
      </c>
      <c r="B259" s="7" t="s">
        <v>12</v>
      </c>
      <c r="C259" s="7" t="s">
        <v>14</v>
      </c>
      <c r="D259" s="7" t="s">
        <v>22</v>
      </c>
      <c r="E259" s="7">
        <v>120</v>
      </c>
      <c r="F259" s="7">
        <v>6</v>
      </c>
      <c r="G259" s="8">
        <f t="shared" ref="G259:G279" si="4">E259*F259</f>
        <v>720</v>
      </c>
    </row>
    <row r="260" spans="1:7" ht="15.6" x14ac:dyDescent="0.3">
      <c r="A260" s="3">
        <v>44863</v>
      </c>
      <c r="B260" s="4" t="s">
        <v>15</v>
      </c>
      <c r="C260" s="4" t="s">
        <v>13</v>
      </c>
      <c r="D260" s="4" t="s">
        <v>21</v>
      </c>
      <c r="E260" s="4">
        <v>52000</v>
      </c>
      <c r="F260" s="4">
        <v>41</v>
      </c>
      <c r="G260" s="5">
        <f t="shared" si="4"/>
        <v>2132000</v>
      </c>
    </row>
    <row r="261" spans="1:7" ht="15.6" x14ac:dyDescent="0.3">
      <c r="A261" s="6">
        <v>44867</v>
      </c>
      <c r="B261" s="7" t="s">
        <v>9</v>
      </c>
      <c r="C261" s="7" t="s">
        <v>17</v>
      </c>
      <c r="D261" s="7" t="s">
        <v>20</v>
      </c>
      <c r="E261" s="7">
        <v>590</v>
      </c>
      <c r="F261" s="7">
        <v>29</v>
      </c>
      <c r="G261" s="8">
        <f t="shared" si="4"/>
        <v>17110</v>
      </c>
    </row>
    <row r="262" spans="1:7" ht="15.6" x14ac:dyDescent="0.3">
      <c r="A262" s="3">
        <v>44871</v>
      </c>
      <c r="B262" s="4" t="s">
        <v>15</v>
      </c>
      <c r="C262" s="4" t="s">
        <v>11</v>
      </c>
      <c r="D262" s="4" t="s">
        <v>22</v>
      </c>
      <c r="E262" s="4">
        <v>7999</v>
      </c>
      <c r="F262" s="4">
        <v>31</v>
      </c>
      <c r="G262" s="5">
        <f t="shared" si="4"/>
        <v>247969</v>
      </c>
    </row>
    <row r="263" spans="1:7" ht="15.6" x14ac:dyDescent="0.3">
      <c r="A263" s="6">
        <v>44875</v>
      </c>
      <c r="B263" s="7" t="s">
        <v>10</v>
      </c>
      <c r="C263" s="7" t="s">
        <v>14</v>
      </c>
      <c r="D263" s="7" t="s">
        <v>20</v>
      </c>
      <c r="E263" s="7">
        <v>999</v>
      </c>
      <c r="F263" s="7">
        <v>34</v>
      </c>
      <c r="G263" s="8">
        <f t="shared" si="4"/>
        <v>33966</v>
      </c>
    </row>
    <row r="264" spans="1:7" ht="15.6" x14ac:dyDescent="0.3">
      <c r="A264" s="3">
        <v>44879</v>
      </c>
      <c r="B264" s="4" t="s">
        <v>18</v>
      </c>
      <c r="C264" s="4" t="s">
        <v>13</v>
      </c>
      <c r="D264" s="4" t="s">
        <v>21</v>
      </c>
      <c r="E264" s="4">
        <v>990</v>
      </c>
      <c r="F264" s="4">
        <v>43</v>
      </c>
      <c r="G264" s="5">
        <f t="shared" si="4"/>
        <v>42570</v>
      </c>
    </row>
    <row r="265" spans="1:7" ht="15.6" x14ac:dyDescent="0.3">
      <c r="A265" s="6">
        <v>44883</v>
      </c>
      <c r="B265" s="7" t="s">
        <v>10</v>
      </c>
      <c r="C265" s="7" t="s">
        <v>16</v>
      </c>
      <c r="D265" s="7" t="s">
        <v>19</v>
      </c>
      <c r="E265" s="7">
        <v>11999</v>
      </c>
      <c r="F265" s="7">
        <v>37</v>
      </c>
      <c r="G265" s="8">
        <f t="shared" si="4"/>
        <v>443963</v>
      </c>
    </row>
    <row r="266" spans="1:7" ht="15.6" x14ac:dyDescent="0.3">
      <c r="A266" s="3">
        <v>44887</v>
      </c>
      <c r="B266" s="4" t="s">
        <v>9</v>
      </c>
      <c r="C266" s="4" t="s">
        <v>11</v>
      </c>
      <c r="D266" s="4" t="s">
        <v>19</v>
      </c>
      <c r="E266" s="4">
        <v>960</v>
      </c>
      <c r="F266" s="4">
        <v>7</v>
      </c>
      <c r="G266" s="5">
        <f t="shared" si="4"/>
        <v>6720</v>
      </c>
    </row>
    <row r="267" spans="1:7" ht="15.6" x14ac:dyDescent="0.3">
      <c r="A267" s="6">
        <v>44891</v>
      </c>
      <c r="B267" s="7" t="s">
        <v>7</v>
      </c>
      <c r="C267" s="7" t="s">
        <v>8</v>
      </c>
      <c r="D267" s="7" t="s">
        <v>21</v>
      </c>
      <c r="E267" s="7">
        <v>1450</v>
      </c>
      <c r="F267" s="7">
        <v>19</v>
      </c>
      <c r="G267" s="8">
        <f t="shared" si="4"/>
        <v>27550</v>
      </c>
    </row>
    <row r="268" spans="1:7" ht="15.6" x14ac:dyDescent="0.3">
      <c r="A268" s="3">
        <v>44895</v>
      </c>
      <c r="B268" s="4" t="s">
        <v>18</v>
      </c>
      <c r="C268" s="4" t="s">
        <v>17</v>
      </c>
      <c r="D268" s="4" t="s">
        <v>20</v>
      </c>
      <c r="E268" s="4">
        <v>450</v>
      </c>
      <c r="F268" s="4">
        <v>47</v>
      </c>
      <c r="G268" s="5">
        <f t="shared" si="4"/>
        <v>21150</v>
      </c>
    </row>
    <row r="269" spans="1:7" ht="15.6" x14ac:dyDescent="0.3">
      <c r="A269" s="6">
        <v>44899</v>
      </c>
      <c r="B269" s="7" t="s">
        <v>10</v>
      </c>
      <c r="C269" s="7" t="s">
        <v>13</v>
      </c>
      <c r="D269" s="7" t="s">
        <v>20</v>
      </c>
      <c r="E269" s="7">
        <v>1499</v>
      </c>
      <c r="F269" s="7">
        <v>37</v>
      </c>
      <c r="G269" s="8">
        <f t="shared" si="4"/>
        <v>55463</v>
      </c>
    </row>
    <row r="270" spans="1:7" ht="15.6" x14ac:dyDescent="0.3">
      <c r="A270" s="3">
        <v>44903</v>
      </c>
      <c r="B270" s="4" t="s">
        <v>15</v>
      </c>
      <c r="C270" s="4" t="s">
        <v>16</v>
      </c>
      <c r="D270" s="4" t="s">
        <v>20</v>
      </c>
      <c r="E270" s="4">
        <v>79999</v>
      </c>
      <c r="F270" s="4">
        <v>4</v>
      </c>
      <c r="G270" s="5">
        <f t="shared" si="4"/>
        <v>319996</v>
      </c>
    </row>
    <row r="271" spans="1:7" ht="15.6" x14ac:dyDescent="0.3">
      <c r="A271" s="6">
        <v>44907</v>
      </c>
      <c r="B271" s="7" t="s">
        <v>10</v>
      </c>
      <c r="C271" s="7" t="s">
        <v>14</v>
      </c>
      <c r="D271" s="7" t="s">
        <v>22</v>
      </c>
      <c r="E271" s="7">
        <v>999</v>
      </c>
      <c r="F271" s="7">
        <v>45</v>
      </c>
      <c r="G271" s="8">
        <f t="shared" si="4"/>
        <v>44955</v>
      </c>
    </row>
    <row r="272" spans="1:7" ht="15.6" x14ac:dyDescent="0.3">
      <c r="A272" s="3">
        <v>44911</v>
      </c>
      <c r="B272" s="4" t="s">
        <v>15</v>
      </c>
      <c r="C272" s="4" t="s">
        <v>16</v>
      </c>
      <c r="D272" s="4" t="s">
        <v>19</v>
      </c>
      <c r="E272" s="4">
        <v>52000</v>
      </c>
      <c r="F272" s="4">
        <v>15</v>
      </c>
      <c r="G272" s="5">
        <f t="shared" si="4"/>
        <v>780000</v>
      </c>
    </row>
    <row r="273" spans="1:7" ht="15.6" x14ac:dyDescent="0.3">
      <c r="A273" s="6">
        <v>44915</v>
      </c>
      <c r="B273" s="7" t="s">
        <v>9</v>
      </c>
      <c r="C273" s="7" t="s">
        <v>16</v>
      </c>
      <c r="D273" s="7" t="s">
        <v>24</v>
      </c>
      <c r="E273" s="7">
        <v>52000</v>
      </c>
      <c r="F273" s="7">
        <v>39</v>
      </c>
      <c r="G273" s="8">
        <f t="shared" si="4"/>
        <v>2028000</v>
      </c>
    </row>
    <row r="274" spans="1:7" ht="15.6" x14ac:dyDescent="0.3">
      <c r="A274" s="3">
        <v>44919</v>
      </c>
      <c r="B274" s="4" t="s">
        <v>10</v>
      </c>
      <c r="C274" s="4" t="s">
        <v>11</v>
      </c>
      <c r="D274" s="4" t="s">
        <v>24</v>
      </c>
      <c r="E274" s="4">
        <v>960</v>
      </c>
      <c r="F274" s="4">
        <v>33</v>
      </c>
      <c r="G274" s="5">
        <f t="shared" si="4"/>
        <v>31680</v>
      </c>
    </row>
    <row r="275" spans="1:7" ht="15.6" x14ac:dyDescent="0.3">
      <c r="A275" s="9">
        <v>44923</v>
      </c>
      <c r="B275" s="10" t="s">
        <v>15</v>
      </c>
      <c r="C275" s="10" t="s">
        <v>11</v>
      </c>
      <c r="D275" s="10" t="s">
        <v>21</v>
      </c>
      <c r="E275" s="10">
        <v>1450</v>
      </c>
      <c r="F275" s="10">
        <v>34</v>
      </c>
      <c r="G275" s="11">
        <f t="shared" si="4"/>
        <v>49300</v>
      </c>
    </row>
    <row r="276" spans="1:7" ht="15.6" x14ac:dyDescent="0.3">
      <c r="A276" s="3">
        <v>44913</v>
      </c>
      <c r="B276" s="4" t="s">
        <v>18</v>
      </c>
      <c r="C276" s="4" t="s">
        <v>17</v>
      </c>
      <c r="D276" s="4" t="s">
        <v>23</v>
      </c>
      <c r="E276" s="4">
        <v>2500</v>
      </c>
      <c r="F276" s="4">
        <v>100</v>
      </c>
      <c r="G276" s="5">
        <f t="shared" si="4"/>
        <v>250000</v>
      </c>
    </row>
    <row r="277" spans="1:7" ht="15.6" x14ac:dyDescent="0.3">
      <c r="A277" s="6">
        <v>44917</v>
      </c>
      <c r="B277" s="7" t="s">
        <v>9</v>
      </c>
      <c r="C277" s="7" t="s">
        <v>13</v>
      </c>
      <c r="D277" s="7" t="s">
        <v>23</v>
      </c>
      <c r="E277" s="7">
        <v>86540</v>
      </c>
      <c r="F277" s="7">
        <v>6</v>
      </c>
      <c r="G277" s="8">
        <f t="shared" si="4"/>
        <v>519240</v>
      </c>
    </row>
    <row r="278" spans="1:7" ht="15.6" x14ac:dyDescent="0.3">
      <c r="A278" s="3">
        <v>44922</v>
      </c>
      <c r="B278" s="4" t="s">
        <v>12</v>
      </c>
      <c r="C278" s="4" t="s">
        <v>14</v>
      </c>
      <c r="D278" s="4" t="s">
        <v>23</v>
      </c>
      <c r="E278" s="4">
        <v>550</v>
      </c>
      <c r="F278" s="4">
        <v>44</v>
      </c>
      <c r="G278" s="5">
        <f t="shared" si="4"/>
        <v>24200</v>
      </c>
    </row>
    <row r="279" spans="1:7" ht="15.6" x14ac:dyDescent="0.3">
      <c r="A279" s="6">
        <v>44925</v>
      </c>
      <c r="B279" s="7" t="s">
        <v>10</v>
      </c>
      <c r="C279" s="7" t="s">
        <v>16</v>
      </c>
      <c r="D279" s="7" t="s">
        <v>23</v>
      </c>
      <c r="E279" s="7">
        <v>65400</v>
      </c>
      <c r="F279" s="7">
        <v>19</v>
      </c>
      <c r="G279" s="8">
        <f t="shared" si="4"/>
        <v>1242600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616A-44A3-42EB-BDD9-442A15E2D208}">
  <dimension ref="A1:C156"/>
  <sheetViews>
    <sheetView topLeftCell="A109" zoomScale="80" zoomScaleNormal="80" workbookViewId="0">
      <selection activeCell="B124" sqref="B124"/>
    </sheetView>
  </sheetViews>
  <sheetFormatPr defaultRowHeight="14.4" x14ac:dyDescent="0.3"/>
  <cols>
    <col min="1" max="1" width="13.5546875" bestFit="1" customWidth="1"/>
    <col min="2" max="2" width="12.109375" bestFit="1" customWidth="1"/>
    <col min="3" max="3" width="15.6640625" bestFit="1" customWidth="1"/>
    <col min="15" max="15" width="12.44140625" bestFit="1" customWidth="1"/>
    <col min="16" max="16" width="13.5546875" bestFit="1" customWidth="1"/>
  </cols>
  <sheetData>
    <row r="1" spans="1:2" x14ac:dyDescent="0.3">
      <c r="A1" s="12" t="s">
        <v>25</v>
      </c>
      <c r="B1" t="s">
        <v>27</v>
      </c>
    </row>
    <row r="2" spans="1:2" x14ac:dyDescent="0.3">
      <c r="A2" s="13" t="s">
        <v>28</v>
      </c>
      <c r="B2" s="14">
        <v>11587825</v>
      </c>
    </row>
    <row r="3" spans="1:2" x14ac:dyDescent="0.3">
      <c r="A3" s="13" t="s">
        <v>29</v>
      </c>
      <c r="B3" s="14">
        <v>9933052</v>
      </c>
    </row>
    <row r="4" spans="1:2" x14ac:dyDescent="0.3">
      <c r="A4" s="13" t="s">
        <v>41</v>
      </c>
      <c r="B4" s="14">
        <v>5651655</v>
      </c>
    </row>
    <row r="5" spans="1:2" x14ac:dyDescent="0.3">
      <c r="A5" s="13" t="s">
        <v>30</v>
      </c>
      <c r="B5" s="14">
        <v>2588013</v>
      </c>
    </row>
    <row r="6" spans="1:2" x14ac:dyDescent="0.3">
      <c r="A6" s="13" t="s">
        <v>31</v>
      </c>
      <c r="B6" s="14">
        <v>8435834</v>
      </c>
    </row>
    <row r="7" spans="1:2" x14ac:dyDescent="0.3">
      <c r="A7" s="13" t="s">
        <v>32</v>
      </c>
      <c r="B7" s="14">
        <v>3751547</v>
      </c>
    </row>
    <row r="8" spans="1:2" x14ac:dyDescent="0.3">
      <c r="A8" s="13" t="s">
        <v>33</v>
      </c>
      <c r="B8" s="14">
        <v>18122063</v>
      </c>
    </row>
    <row r="9" spans="1:2" x14ac:dyDescent="0.3">
      <c r="A9" s="13" t="s">
        <v>34</v>
      </c>
      <c r="B9" s="14">
        <v>10988474</v>
      </c>
    </row>
    <row r="10" spans="1:2" x14ac:dyDescent="0.3">
      <c r="A10" s="13" t="s">
        <v>35</v>
      </c>
      <c r="B10" s="14">
        <v>13532478</v>
      </c>
    </row>
    <row r="11" spans="1:2" x14ac:dyDescent="0.3">
      <c r="A11" s="13" t="s">
        <v>36</v>
      </c>
      <c r="B11" s="14">
        <v>16467945</v>
      </c>
    </row>
    <row r="12" spans="1:2" x14ac:dyDescent="0.3">
      <c r="A12" s="13" t="s">
        <v>37</v>
      </c>
      <c r="B12" s="14">
        <v>5605463</v>
      </c>
    </row>
    <row r="13" spans="1:2" x14ac:dyDescent="0.3">
      <c r="A13" s="13" t="s">
        <v>38</v>
      </c>
      <c r="B13" s="14">
        <v>12067544</v>
      </c>
    </row>
    <row r="14" spans="1:2" x14ac:dyDescent="0.3">
      <c r="A14" s="13" t="s">
        <v>26</v>
      </c>
      <c r="B14" s="14">
        <v>118731893</v>
      </c>
    </row>
    <row r="18" spans="1:2" x14ac:dyDescent="0.3">
      <c r="A18" s="12" t="s">
        <v>25</v>
      </c>
      <c r="B18" t="s">
        <v>27</v>
      </c>
    </row>
    <row r="19" spans="1:2" x14ac:dyDescent="0.3">
      <c r="A19" s="13" t="s">
        <v>19</v>
      </c>
      <c r="B19" s="14">
        <v>19179514</v>
      </c>
    </row>
    <row r="20" spans="1:2" x14ac:dyDescent="0.3">
      <c r="A20" s="13" t="s">
        <v>20</v>
      </c>
      <c r="B20" s="14">
        <v>15080094</v>
      </c>
    </row>
    <row r="21" spans="1:2" x14ac:dyDescent="0.3">
      <c r="A21" s="13" t="s">
        <v>22</v>
      </c>
      <c r="B21" s="14">
        <v>16926316</v>
      </c>
    </row>
    <row r="22" spans="1:2" x14ac:dyDescent="0.3">
      <c r="A22" s="13" t="s">
        <v>24</v>
      </c>
      <c r="B22" s="14">
        <v>41054876</v>
      </c>
    </row>
    <row r="23" spans="1:2" x14ac:dyDescent="0.3">
      <c r="A23" s="13" t="s">
        <v>23</v>
      </c>
      <c r="B23" s="14">
        <v>10438408</v>
      </c>
    </row>
    <row r="24" spans="1:2" x14ac:dyDescent="0.3">
      <c r="A24" s="13" t="s">
        <v>21</v>
      </c>
      <c r="B24" s="14">
        <v>16052685</v>
      </c>
    </row>
    <row r="25" spans="1:2" x14ac:dyDescent="0.3">
      <c r="A25" s="13" t="s">
        <v>26</v>
      </c>
      <c r="B25" s="14">
        <v>118731893</v>
      </c>
    </row>
    <row r="27" spans="1:2" x14ac:dyDescent="0.3">
      <c r="A27" s="12" t="s">
        <v>25</v>
      </c>
      <c r="B27" t="s">
        <v>27</v>
      </c>
    </row>
    <row r="28" spans="1:2" x14ac:dyDescent="0.3">
      <c r="A28" s="13" t="s">
        <v>13</v>
      </c>
      <c r="B28" s="17">
        <v>0.39442202778658636</v>
      </c>
    </row>
    <row r="29" spans="1:2" x14ac:dyDescent="0.3">
      <c r="A29" s="13" t="s">
        <v>8</v>
      </c>
      <c r="B29" s="17">
        <v>4.4333858974184806E-2</v>
      </c>
    </row>
    <row r="30" spans="1:2" x14ac:dyDescent="0.3">
      <c r="A30" s="13" t="s">
        <v>16</v>
      </c>
      <c r="B30" s="17">
        <v>0.41026059443017554</v>
      </c>
    </row>
    <row r="31" spans="1:2" x14ac:dyDescent="0.3">
      <c r="A31" s="13" t="s">
        <v>11</v>
      </c>
      <c r="B31" s="17">
        <v>2.9676432430838107E-2</v>
      </c>
    </row>
    <row r="32" spans="1:2" x14ac:dyDescent="0.3">
      <c r="A32" s="13" t="s">
        <v>14</v>
      </c>
      <c r="B32" s="17">
        <v>8.7710746766245865E-2</v>
      </c>
    </row>
    <row r="33" spans="1:3" x14ac:dyDescent="0.3">
      <c r="A33" s="13" t="s">
        <v>17</v>
      </c>
      <c r="B33" s="17">
        <v>3.3596339611969298E-2</v>
      </c>
    </row>
    <row r="34" spans="1:3" x14ac:dyDescent="0.3">
      <c r="A34" s="13" t="s">
        <v>26</v>
      </c>
      <c r="B34" s="17">
        <v>1</v>
      </c>
    </row>
    <row r="38" spans="1:3" x14ac:dyDescent="0.3">
      <c r="A38" t="s">
        <v>27</v>
      </c>
    </row>
    <row r="39" spans="1:3" x14ac:dyDescent="0.3">
      <c r="A39" s="14">
        <v>118731893</v>
      </c>
      <c r="C39" s="16">
        <f>GETPIVOTDATA("Amount",$A$38)</f>
        <v>118731893</v>
      </c>
    </row>
    <row r="40" spans="1:3" x14ac:dyDescent="0.3">
      <c r="C40" s="15"/>
    </row>
    <row r="41" spans="1:3" x14ac:dyDescent="0.3">
      <c r="A41" t="s">
        <v>39</v>
      </c>
    </row>
    <row r="42" spans="1:3" x14ac:dyDescent="0.3">
      <c r="A42" s="18">
        <v>278</v>
      </c>
      <c r="C42">
        <f>GETPIVOTDATA("Amount",$A$41)</f>
        <v>278</v>
      </c>
    </row>
    <row r="46" spans="1:3" x14ac:dyDescent="0.3">
      <c r="A46" s="12" t="s">
        <v>25</v>
      </c>
      <c r="B46" t="s">
        <v>40</v>
      </c>
    </row>
    <row r="47" spans="1:3" x14ac:dyDescent="0.3">
      <c r="A47" s="13" t="s">
        <v>17</v>
      </c>
      <c r="B47" s="18">
        <v>1457</v>
      </c>
    </row>
    <row r="48" spans="1:3" x14ac:dyDescent="0.3">
      <c r="A48" s="13" t="s">
        <v>13</v>
      </c>
      <c r="B48" s="18">
        <v>1503</v>
      </c>
    </row>
    <row r="49" spans="1:2" x14ac:dyDescent="0.3">
      <c r="A49" s="13" t="s">
        <v>16</v>
      </c>
      <c r="B49" s="18">
        <v>1615</v>
      </c>
    </row>
    <row r="50" spans="1:2" x14ac:dyDescent="0.3">
      <c r="A50" s="13" t="s">
        <v>26</v>
      </c>
      <c r="B50" s="18">
        <v>4575</v>
      </c>
    </row>
    <row r="52" spans="1:2" x14ac:dyDescent="0.3">
      <c r="A52" s="12" t="s">
        <v>25</v>
      </c>
      <c r="B52" t="s">
        <v>40</v>
      </c>
    </row>
    <row r="53" spans="1:2" x14ac:dyDescent="0.3">
      <c r="A53" s="13" t="s">
        <v>8</v>
      </c>
      <c r="B53" s="18">
        <v>1233</v>
      </c>
    </row>
    <row r="54" spans="1:2" x14ac:dyDescent="0.3">
      <c r="A54" s="13" t="s">
        <v>14</v>
      </c>
      <c r="B54" s="18">
        <v>1168</v>
      </c>
    </row>
    <row r="55" spans="1:2" x14ac:dyDescent="0.3">
      <c r="A55" s="13" t="s">
        <v>11</v>
      </c>
      <c r="B55" s="18">
        <v>694</v>
      </c>
    </row>
    <row r="56" spans="1:2" x14ac:dyDescent="0.3">
      <c r="A56" s="13" t="s">
        <v>26</v>
      </c>
      <c r="B56" s="18">
        <v>3095</v>
      </c>
    </row>
    <row r="79" spans="1:2" x14ac:dyDescent="0.3">
      <c r="A79" s="12" t="s">
        <v>25</v>
      </c>
      <c r="B79" t="s">
        <v>40</v>
      </c>
    </row>
    <row r="80" spans="1:2" x14ac:dyDescent="0.3">
      <c r="A80" s="13" t="s">
        <v>13</v>
      </c>
      <c r="B80" s="18">
        <v>1503</v>
      </c>
    </row>
    <row r="81" spans="1:2" x14ac:dyDescent="0.3">
      <c r="A81" s="13" t="s">
        <v>8</v>
      </c>
      <c r="B81" s="18">
        <v>1233</v>
      </c>
    </row>
    <row r="82" spans="1:2" x14ac:dyDescent="0.3">
      <c r="A82" s="13" t="s">
        <v>16</v>
      </c>
      <c r="B82" s="18">
        <v>1615</v>
      </c>
    </row>
    <row r="83" spans="1:2" x14ac:dyDescent="0.3">
      <c r="A83" s="13" t="s">
        <v>11</v>
      </c>
      <c r="B83" s="18">
        <v>694</v>
      </c>
    </row>
    <row r="84" spans="1:2" x14ac:dyDescent="0.3">
      <c r="A84" s="13" t="s">
        <v>14</v>
      </c>
      <c r="B84" s="18">
        <v>1168</v>
      </c>
    </row>
    <row r="85" spans="1:2" x14ac:dyDescent="0.3">
      <c r="A85" s="13" t="s">
        <v>17</v>
      </c>
      <c r="B85" s="18">
        <v>1457</v>
      </c>
    </row>
    <row r="86" spans="1:2" x14ac:dyDescent="0.3">
      <c r="A86" s="13" t="s">
        <v>26</v>
      </c>
      <c r="B86" s="18">
        <v>7670</v>
      </c>
    </row>
    <row r="90" spans="1:2" x14ac:dyDescent="0.3">
      <c r="A90" s="12" t="s">
        <v>25</v>
      </c>
      <c r="B90" t="s">
        <v>40</v>
      </c>
    </row>
    <row r="91" spans="1:2" x14ac:dyDescent="0.3">
      <c r="A91" s="13" t="s">
        <v>13</v>
      </c>
      <c r="B91" s="18">
        <v>1503</v>
      </c>
    </row>
    <row r="92" spans="1:2" x14ac:dyDescent="0.3">
      <c r="A92" s="13" t="s">
        <v>8</v>
      </c>
      <c r="B92" s="18">
        <v>1233</v>
      </c>
    </row>
    <row r="93" spans="1:2" x14ac:dyDescent="0.3">
      <c r="A93" s="13" t="s">
        <v>16</v>
      </c>
      <c r="B93" s="18">
        <v>1615</v>
      </c>
    </row>
    <row r="94" spans="1:2" x14ac:dyDescent="0.3">
      <c r="A94" s="13" t="s">
        <v>11</v>
      </c>
      <c r="B94" s="18">
        <v>694</v>
      </c>
    </row>
    <row r="95" spans="1:2" x14ac:dyDescent="0.3">
      <c r="A95" s="13" t="s">
        <v>14</v>
      </c>
      <c r="B95" s="18">
        <v>1168</v>
      </c>
    </row>
    <row r="96" spans="1:2" x14ac:dyDescent="0.3">
      <c r="A96" s="13" t="s">
        <v>17</v>
      </c>
      <c r="B96" s="18">
        <v>1457</v>
      </c>
    </row>
    <row r="97" spans="1:2" x14ac:dyDescent="0.3">
      <c r="A97" s="13" t="s">
        <v>26</v>
      </c>
      <c r="B97" s="18">
        <v>7670</v>
      </c>
    </row>
    <row r="116" spans="1:2" x14ac:dyDescent="0.3">
      <c r="A116" t="s">
        <v>40</v>
      </c>
    </row>
    <row r="117" spans="1:2" x14ac:dyDescent="0.3">
      <c r="A117" s="18">
        <v>7670</v>
      </c>
    </row>
    <row r="122" spans="1:2" x14ac:dyDescent="0.3">
      <c r="A122" s="12" t="s">
        <v>25</v>
      </c>
      <c r="B122" t="s">
        <v>40</v>
      </c>
    </row>
    <row r="123" spans="1:2" x14ac:dyDescent="0.3">
      <c r="A123" s="13" t="s">
        <v>15</v>
      </c>
      <c r="B123" s="18">
        <v>1687</v>
      </c>
    </row>
    <row r="124" spans="1:2" x14ac:dyDescent="0.3">
      <c r="A124" s="13" t="s">
        <v>10</v>
      </c>
      <c r="B124" s="18">
        <v>1534</v>
      </c>
    </row>
    <row r="125" spans="1:2" x14ac:dyDescent="0.3">
      <c r="A125" s="13" t="s">
        <v>9</v>
      </c>
      <c r="B125" s="18">
        <v>1407</v>
      </c>
    </row>
    <row r="126" spans="1:2" x14ac:dyDescent="0.3">
      <c r="A126" s="13" t="s">
        <v>26</v>
      </c>
      <c r="B126" s="18">
        <v>4628</v>
      </c>
    </row>
    <row r="130" spans="1:2" x14ac:dyDescent="0.3">
      <c r="A130" s="12" t="s">
        <v>25</v>
      </c>
      <c r="B130" t="s">
        <v>40</v>
      </c>
    </row>
    <row r="131" spans="1:2" x14ac:dyDescent="0.3">
      <c r="A131" s="13" t="s">
        <v>12</v>
      </c>
      <c r="B131" s="18">
        <v>810</v>
      </c>
    </row>
    <row r="132" spans="1:2" x14ac:dyDescent="0.3">
      <c r="A132" s="13" t="s">
        <v>18</v>
      </c>
      <c r="B132" s="18">
        <v>1285</v>
      </c>
    </row>
    <row r="133" spans="1:2" x14ac:dyDescent="0.3">
      <c r="A133" s="13" t="s">
        <v>7</v>
      </c>
      <c r="B133" s="18">
        <v>947</v>
      </c>
    </row>
    <row r="134" spans="1:2" x14ac:dyDescent="0.3">
      <c r="A134" s="13" t="s">
        <v>26</v>
      </c>
      <c r="B134" s="18">
        <v>3042</v>
      </c>
    </row>
    <row r="149" spans="1:2" x14ac:dyDescent="0.3">
      <c r="A149" s="12" t="s">
        <v>25</v>
      </c>
      <c r="B149" t="s">
        <v>40</v>
      </c>
    </row>
    <row r="150" spans="1:2" x14ac:dyDescent="0.3">
      <c r="A150" s="13" t="s">
        <v>15</v>
      </c>
      <c r="B150" s="18">
        <v>1687</v>
      </c>
    </row>
    <row r="151" spans="1:2" x14ac:dyDescent="0.3">
      <c r="A151" s="13" t="s">
        <v>10</v>
      </c>
      <c r="B151" s="18">
        <v>1534</v>
      </c>
    </row>
    <row r="152" spans="1:2" x14ac:dyDescent="0.3">
      <c r="A152" s="13" t="s">
        <v>9</v>
      </c>
      <c r="B152" s="18">
        <v>1407</v>
      </c>
    </row>
    <row r="153" spans="1:2" x14ac:dyDescent="0.3">
      <c r="A153" s="13" t="s">
        <v>12</v>
      </c>
      <c r="B153" s="18">
        <v>810</v>
      </c>
    </row>
    <row r="154" spans="1:2" x14ac:dyDescent="0.3">
      <c r="A154" s="13" t="s">
        <v>18</v>
      </c>
      <c r="B154" s="18">
        <v>1285</v>
      </c>
    </row>
    <row r="155" spans="1:2" x14ac:dyDescent="0.3">
      <c r="A155" s="13" t="s">
        <v>7</v>
      </c>
      <c r="B155" s="18">
        <v>947</v>
      </c>
    </row>
    <row r="156" spans="1:2" x14ac:dyDescent="0.3">
      <c r="A156" s="13" t="s">
        <v>26</v>
      </c>
      <c r="B156" s="18">
        <v>7670</v>
      </c>
    </row>
  </sheetData>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25A2-AC10-4E71-9C72-8124EA0F3CA1}">
  <dimension ref="A1"/>
  <sheetViews>
    <sheetView tabSelected="1" zoomScale="90" zoomScaleNormal="9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3F208-8D30-4A4E-B4CA-A707C93AB68B}">
  <dimension ref="A1"/>
  <sheetViews>
    <sheetView topLeftCell="A4" zoomScale="90" zoomScaleNormal="90" workbookViewId="0">
      <selection activeCell="C34" sqref="C3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B997-F53F-4505-AB0F-085FDFCD3E1B}">
  <dimension ref="A1"/>
  <sheetViews>
    <sheetView zoomScale="90" zoomScaleNormal="9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6D8B-3979-4A2C-B10F-104C1720D6B6}">
  <dimension ref="A1"/>
  <sheetViews>
    <sheetView zoomScale="90" zoomScaleNormal="9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complete data</vt:lpstr>
      <vt:lpstr>pivot tables</vt:lpstr>
      <vt:lpstr>Dashboards</vt:lpstr>
      <vt:lpstr>PRODUCTS</vt:lpstr>
      <vt:lpstr>SALES MANS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ganesh m</cp:lastModifiedBy>
  <cp:lastPrinted>2025-10-12T14:19:50Z</cp:lastPrinted>
  <dcterms:created xsi:type="dcterms:W3CDTF">2025-01-28T12:35:12Z</dcterms:created>
  <dcterms:modified xsi:type="dcterms:W3CDTF">2025-12-12T13:57:23Z</dcterms:modified>
</cp:coreProperties>
</file>